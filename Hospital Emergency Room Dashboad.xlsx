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2B612AA0-0FD6-4B2A-BAAE-355E89046006}" xr6:coauthVersionLast="47" xr6:coauthVersionMax="47" xr10:uidLastSave="{00000000-0000-0000-0000-000000000000}"/>
  <bookViews>
    <workbookView xWindow="-108" yWindow="-108" windowWidth="23256" windowHeight="12456" firstSheet="1" activeTab="2" xr2:uid="{1A8AC20E-E726-4A01-A8D8-7726CF39B762}"/>
  </bookViews>
  <sheets>
    <sheet name="Sheet4" sheetId="6" r:id="rId1"/>
    <sheet name="pivot Report" sheetId="1" r:id="rId2"/>
    <sheet name="Dashboard" sheetId="2" r:id="rId3"/>
    <sheet name="Daily ER No of patient" sheetId="3" r:id="rId4"/>
    <sheet name=" avg waittime daily trends" sheetId="4" r:id="rId5"/>
    <sheet name="satisfaction score daily trends" sheetId="5" r:id="rId6"/>
  </sheets>
  <definedNames>
    <definedName name="ExternalData_1" localSheetId="0" hidden="1">Sheet4!$A$3:$M$26</definedName>
    <definedName name="Slicer_Date__Month">#N/A</definedName>
    <definedName name="Slicer_Date__Year">#N/A</definedName>
  </definedNames>
  <calcPr calcId="191029"/>
  <pivotCaches>
    <pivotCache cacheId="1462" r:id="rId7"/>
    <pivotCache cacheId="1465" r:id="rId8"/>
    <pivotCache cacheId="1468" r:id="rId9"/>
    <pivotCache cacheId="1471" r:id="rId10"/>
    <pivotCache cacheId="1474" r:id="rId11"/>
    <pivotCache cacheId="1477" r:id="rId12"/>
    <pivotCache cacheId="1480" r:id="rId13"/>
    <pivotCache cacheId="1483" r:id="rId14"/>
    <pivotCache cacheId="1486" r:id="rId15"/>
    <pivotCache cacheId="1489" r:id="rId16"/>
    <pivotCache cacheId="1492" r:id="rId17"/>
    <pivotCache cacheId="1495" r:id="rId18"/>
  </pivotCaches>
  <extLst>
    <ext xmlns:x14="http://schemas.microsoft.com/office/spreadsheetml/2009/9/main" uri="{876F7934-8845-4945-9796-88D515C7AA90}">
      <x14:pivotCaches>
        <pivotCache cacheId="1107"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  1_8507374b-b11b-4434-a5ca-8efce1c4d642" name="Hospital Emergency Room Data  1" connection="Query - Hospital Emergency Room Data (1)"/>
          <x15:modelTable id="Calender_Table_b12cb2bd-9f95-4107-ac74-76e723231cbd" name="Calender_Table" connection="Query - Calender_Table"/>
        </x15:modelTables>
        <x15:modelRelationships>
          <x15:modelRelationship fromTable="Hospital Emergency Room Data  1"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1" i="1" l="1"/>
  <c r="C51" i="1"/>
  <c r="A51" i="1"/>
  <c r="C50" i="1"/>
  <c r="B50" i="1"/>
  <c r="A5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E8EABE2-BF7A-48B0-A346-F7F4C10CB62F}" keepAlive="1" name="ModelConnection_ExternalData_1" description="Data Model" type="5" refreshedVersion="8" minRefreshableVersion="5" saveData="1">
    <dbPr connection="Data Model Connection" command="DRILLTHROUGH MAXROWS 1000 SELECT FROM [Model] WHERE (([Calender_Table].[Date (Month)].&amp;[May],[Measures].[Count of Department Referral],[Hospital Emergency Room Data  1].[Department Referral].&amp;[Cardiology])) RETURN [$Hospital Emergency Room Data  1].[Patient Id],[$Hospital Emergency Room Data  1].[Patient Admission Date],[$Hospital Emergency Room Data  1].[Patient Admission Time],[$Hospital Emergency Room Data  1].[Merged],[$Hospital Emergency Room Data  1].[Patient Gender],[$Hospital Emergency Room Data  1].[Patient Age],[$Hospital Emergency Room Data  1].[Patient Race],[$Hospital Emergency Room Data  1].[Department Referral],[$Hospital Emergency Room Data  1].[Patient Admission Flag],[$Hospital Emergency Room Data  1].[Patient Satisfaction Score],[$Hospital Emergency Room Data  1].[Patient Waittime],[$Hospital Emergency Room Data  1].[Age Group],[$Hospital Emergency Room Data  1].[Patient Attend Status]" commandType="4"/>
    <extLst>
      <ext xmlns:x15="http://schemas.microsoft.com/office/spreadsheetml/2010/11/main" uri="{DE250136-89BD-433C-8126-D09CA5730AF9}">
        <x15:connection id="" model="1"/>
      </ext>
    </extLst>
  </connection>
  <connection id="2" xr16:uid="{28B6F6B2-6D31-493D-A72B-BB039E8D7760}" name="Query - Calender_Table" description="Connection to the 'Calender_Table' query in the workbook." type="100" refreshedVersion="8" minRefreshableVersion="5">
    <extLst>
      <ext xmlns:x15="http://schemas.microsoft.com/office/spreadsheetml/2010/11/main" uri="{DE250136-89BD-433C-8126-D09CA5730AF9}">
        <x15:connection id="e2cf926d-d293-40a3-85db-8b5daf146aac"/>
      </ext>
    </extLst>
  </connection>
  <connection id="3" xr16:uid="{E632E3A1-2E84-423E-ADD0-93A46ECFEBEC}" name="Query - Hospital Emergency Room Data (1)" description="Connection to the 'Hospital Emergency Room Data (1)' query in the workbook." type="100" refreshedVersion="8" minRefreshableVersion="5">
    <extLst>
      <ext xmlns:x15="http://schemas.microsoft.com/office/spreadsheetml/2010/11/main" uri="{DE250136-89BD-433C-8126-D09CA5730AF9}">
        <x15:connection id="60a95902-f034-4472-8005-3d175cfdeefa"/>
      </ext>
    </extLst>
  </connection>
  <connection id="4" xr16:uid="{2A7A55AE-157B-4B7C-8799-1D3CEC7A04BD}"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<sst xmlns="http://schemas.openxmlformats.org/spreadsheetml/2006/main" count="328" uniqueCount="141">
  <si>
    <t>Distinct Count of Patient Id</t>
  </si>
  <si>
    <t>No. of Patient</t>
  </si>
  <si>
    <t>Average of Patient Waittime</t>
  </si>
  <si>
    <t>Average of Patient Satisfaction Score</t>
  </si>
  <si>
    <t>Row Labels</t>
  </si>
  <si>
    <t>Grand Total</t>
  </si>
  <si>
    <t>2024</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</si>
  <si>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</si>
  <si>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</si>
  <si>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</si>
  <si>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</si>
  <si>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</si>
  <si>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</si>
  <si>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</si>
  <si>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</si>
  <si>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</si>
  <si>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</si>
  <si>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</si>
  <si>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</si>
  <si>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</si>
  <si>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</si>
  <si>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</si>
  <si>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</si>
  <si>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</si>
  <si>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</si>
  <si>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</si>
  <si>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</si>
  <si>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</si>
  <si>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</si>
  <si>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</si>
  <si>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</si>
  <si>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</si>
  <si>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</si>
  <si>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</si>
  <si>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</si>
  <si>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</si>
  <si>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</si>
  <si>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Daily trends no of patient</t>
  </si>
  <si>
    <t>Average waittime</t>
  </si>
  <si>
    <t>satisfaction score dai;y trends</t>
  </si>
  <si>
    <t>Count of Patient Admission Flag</t>
  </si>
  <si>
    <t>FALSE</t>
  </si>
  <si>
    <t>TRUE</t>
  </si>
  <si>
    <t>Count of Patient Admission Flag2</t>
  </si>
  <si>
    <t>Admission Status</t>
  </si>
  <si>
    <t>%Status</t>
  </si>
  <si>
    <t xml:space="preserve"> patient</t>
  </si>
  <si>
    <t>Count of Age Group</t>
  </si>
  <si>
    <t>0-09</t>
  </si>
  <si>
    <t>10-19</t>
  </si>
  <si>
    <t>20-29</t>
  </si>
  <si>
    <t>30-39</t>
  </si>
  <si>
    <t>40-49</t>
  </si>
  <si>
    <t>50-59</t>
  </si>
  <si>
    <t>60-69</t>
  </si>
  <si>
    <t>70-69</t>
  </si>
  <si>
    <t>age group analysis</t>
  </si>
  <si>
    <t>Count of Patient Id</t>
  </si>
  <si>
    <t>Ontime</t>
  </si>
  <si>
    <t>Delay</t>
  </si>
  <si>
    <t>attandence status</t>
  </si>
  <si>
    <t>Count of Patient Gender</t>
  </si>
  <si>
    <t>Female</t>
  </si>
  <si>
    <t>Male</t>
  </si>
  <si>
    <t>gender</t>
  </si>
  <si>
    <t>Cardiology</t>
  </si>
  <si>
    <t>Gastroenterology</t>
  </si>
  <si>
    <t>General Practice</t>
  </si>
  <si>
    <t>Neurology</t>
  </si>
  <si>
    <t>None</t>
  </si>
  <si>
    <t>Orthopedics</t>
  </si>
  <si>
    <t>Physiotherapy</t>
  </si>
  <si>
    <t>Renal</t>
  </si>
  <si>
    <t>Count of Department Referral</t>
  </si>
  <si>
    <t>Hospital Emergency Room Data  1[Patient Id]</t>
  </si>
  <si>
    <t>Hospital Emergency Room Data  1[Patient Admission Date]</t>
  </si>
  <si>
    <t>Hospital Emergency Room Data  1[Patient Admission Time]</t>
  </si>
  <si>
    <t>Hospital Emergency Room Data  1[Merged]</t>
  </si>
  <si>
    <t>Hospital Emergency Room Data  1[Patient Gender]</t>
  </si>
  <si>
    <t>Hospital Emergency Room Data  1[Patient Age]</t>
  </si>
  <si>
    <t>Hospital Emergency Room Data  1[Patient Race]</t>
  </si>
  <si>
    <t>Hospital Emergency Room Data  1[Department Referral]</t>
  </si>
  <si>
    <t>Hospital Emergency Room Data  1[Patient Admission Flag]</t>
  </si>
  <si>
    <t>Hospital Emergency Room Data  1[Patient Satisfaction Score]</t>
  </si>
  <si>
    <t>Hospital Emergency Room Data  1[Patient Waittime]</t>
  </si>
  <si>
    <t>Hospital Emergency Room Data  1[Age Group]</t>
  </si>
  <si>
    <t>Hospital Emergency Room Data  1[Patient Attend Status]</t>
  </si>
  <si>
    <t>763-15-1169</t>
  </si>
  <si>
    <t>V Wanne</t>
  </si>
  <si>
    <t>White</t>
  </si>
  <si>
    <t>719-06-1377</t>
  </si>
  <si>
    <t>B Alfonsetto</t>
  </si>
  <si>
    <t>African American</t>
  </si>
  <si>
    <t>385-35-4502</t>
  </si>
  <si>
    <t>F Tarney</t>
  </si>
  <si>
    <t>Native American/Alaska Native</t>
  </si>
  <si>
    <t>565-24-0607</t>
  </si>
  <si>
    <t>G Meddemmen</t>
  </si>
  <si>
    <t>535-83-6651</t>
  </si>
  <si>
    <t>G Ariss</t>
  </si>
  <si>
    <t>844-70-3132</t>
  </si>
  <si>
    <t>X Clench</t>
  </si>
  <si>
    <t>711-63-4110</t>
  </si>
  <si>
    <t>M Wetheril</t>
  </si>
  <si>
    <t>Declined to Identify</t>
  </si>
  <si>
    <t>837-61-0226</t>
  </si>
  <si>
    <t>P Presslie</t>
  </si>
  <si>
    <t>246-91-3426</t>
  </si>
  <si>
    <t>Q Betz</t>
  </si>
  <si>
    <t>Two or More Races</t>
  </si>
  <si>
    <t>857-03-3289</t>
  </si>
  <si>
    <t>X Palfrey</t>
  </si>
  <si>
    <t>436-34-8687</t>
  </si>
  <si>
    <t>U Armytage</t>
  </si>
  <si>
    <t>Asian</t>
  </si>
  <si>
    <t>845-94-0950</t>
  </si>
  <si>
    <t>U Bloy</t>
  </si>
  <si>
    <t>644-58-7967</t>
  </si>
  <si>
    <t>B Ducroe</t>
  </si>
  <si>
    <t>686-69-6116</t>
  </si>
  <si>
    <t>K Greger</t>
  </si>
  <si>
    <t>589-89-7404</t>
  </si>
  <si>
    <t>Y Infantino</t>
  </si>
  <si>
    <t>Pacific Islander</t>
  </si>
  <si>
    <t>192-05-5593</t>
  </si>
  <si>
    <t>Q Borges</t>
  </si>
  <si>
    <t>404-11-0410</t>
  </si>
  <si>
    <t>P Baton</t>
  </si>
  <si>
    <t>674-47-7074</t>
  </si>
  <si>
    <t>D Jirzik</t>
  </si>
  <si>
    <t>729-22-1036</t>
  </si>
  <si>
    <t>R Jozefczak</t>
  </si>
  <si>
    <t>311-54-5268</t>
  </si>
  <si>
    <t>T Ware</t>
  </si>
  <si>
    <t>151-80-2492</t>
  </si>
  <si>
    <t>L MacSwayde</t>
  </si>
  <si>
    <t>229-16-0094</t>
  </si>
  <si>
    <t>E Payle</t>
  </si>
  <si>
    <t>405-19-7318</t>
  </si>
  <si>
    <t>K Jandl</t>
  </si>
  <si>
    <t>Data returned for Count of Department Referral, Cardiology, May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</si>
</sst>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theme="3" tint="-0.249977111117893"/>
        <bgColor indexed="64"/>
      </patternFill>
    </fill>
    <fill>
      <patternFill patternType="solid">
        <fgColor theme="2"/>
        <bgColor indexed="64"/>
      </patternFill>
    </fill>
    <fill>
      <patternFill patternType="solid">
        <fgColor theme="9" tint="0.59999389629810485"/>
        <bgColor indexed="64"/>
      </patternFill>
    </fill>
    <fill>
      <patternFill patternType="solid">
        <fgColor theme="3" tint="0.59999389629810485"/>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2" fontId="0" fillId="0" borderId="0" xfId="0" applyNumberFormat="1"/>
    <xf numFmtId="0" fontId="0" fillId="2" borderId="0" xfId="0" applyFill="1"/>
    <xf numFmtId="0" fontId="0" fillId="0" borderId="0" xfId="0" pivotButton="1"/>
    <xf numFmtId="0" fontId="0" fillId="0" borderId="0" xfId="0" applyNumberFormat="1"/>
    <xf numFmtId="0" fontId="0" fillId="0" borderId="0" xfId="0" applyAlignment="1">
      <alignment horizontal="left"/>
    </xf>
    <xf numFmtId="0" fontId="0" fillId="3" borderId="0" xfId="0" applyFill="1"/>
    <xf numFmtId="0" fontId="0" fillId="4" borderId="0" xfId="0" applyFill="1"/>
    <xf numFmtId="10" fontId="0" fillId="0" borderId="0" xfId="0" applyNumberFormat="1"/>
    <xf numFmtId="1" fontId="0" fillId="0" borderId="0" xfId="0" applyNumberFormat="1"/>
    <xf numFmtId="0" fontId="0" fillId="5" borderId="0" xfId="0" applyFill="1"/>
    <xf numFmtId="9" fontId="0" fillId="5" borderId="0" xfId="1" applyFont="1" applyFill="1"/>
    <xf numFmtId="14" fontId="0" fillId="0" borderId="0" xfId="0" applyNumberFormat="1"/>
    <xf numFmtId="21" fontId="0" fillId="0" borderId="0" xfId="0" applyNumberFormat="1"/>
    <xf numFmtId="0" fontId="2" fillId="0" borderId="0" xfId="0" applyFont="1"/>
  </cellXfs>
  <cellStyles count="2">
    <cellStyle name="Normal" xfId="0" builtinId="0"/>
    <cellStyle name="Percent" xfId="1" builtinId="5"/>
  </cellStyles>
  <dxfs count="110">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font>
        <b/>
        <color theme="1"/>
      </font>
      <border>
        <bottom style="thin">
          <color theme="9"/>
        </bottom>
        <vertical/>
        <horizontal/>
      </border>
    </dxf>
    <dxf>
      <font>
        <sz val="5"/>
        <color theme="1"/>
      </font>
      <fill>
        <gradientFill degree="90">
          <stop position="0">
            <color theme="0"/>
          </stop>
          <stop position="1">
            <color theme="4"/>
          </stop>
        </gradientFill>
      </fill>
      <border diagonalUp="0" diagonalDown="0">
        <left/>
        <right/>
        <top/>
        <bottom/>
        <vertical/>
        <horizontal/>
      </border>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numFmt numFmtId="26" formatCode="h:mm:ss"/>
    </dxf>
    <dxf>
      <numFmt numFmtId="19" formatCode="m/d/yyyy"/>
    </dxf>
  </dxfs>
  <tableStyles count="1" defaultTableStyle="TableStyleMedium2" defaultPivotStyle="PivotStyleLight16">
    <tableStyle name="my style" pivot="0" table="0" count="10" xr9:uid="{6C663F00-1DD0-425F-B206-0E33BC7AF865}">
      <tableStyleElement type="wholeTable" dxfId="90"/>
      <tableStyleElement type="headerRow" dxfId="89"/>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07/relationships/slicerCache" Target="slicerCaches/slicer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Dashboad.xlsx]pivot Report!PivotTable3</c:name>
    <c:fmtId val="0"/>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tx>
            <c:rich>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2DFD6524-CB9E-492F-8B58-CB198A4AE5C3}" type="CELLRANGE">
                  <a:rPr lang="en-US"/>
                  <a:pPr>
                    <a:defRPr sz="600"/>
                  </a:pPr>
                  <a:t>[CELLRANGE]</a:t>
                </a:fld>
                <a:endParaRPr lang="en-IN"/>
              </a:p>
            </c:rich>
          </c:tx>
          <c:spPr>
            <a:noFill/>
            <a:ln>
              <a:noFill/>
            </a:ln>
            <a:effectLst/>
          </c:spPr>
          <c:txPr>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
        <c:idx val="3"/>
        <c:spPr>
          <a:solidFill>
            <a:schemeClr val="accent2"/>
          </a:solidFill>
          <a:ln>
            <a:noFill/>
          </a:ln>
          <a:effectLst/>
        </c:spPr>
        <c:dLbl>
          <c:idx val="0"/>
          <c:tx>
            <c:rich>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79D2DC52-62C1-41D9-B7E8-1DBCD24D4839}" type="CELLRANGE">
                  <a:rPr lang="en-US"/>
                  <a:pPr>
                    <a:defRPr sz="600"/>
                  </a:pPr>
                  <a:t>[CELLRANGE]</a:t>
                </a:fld>
                <a:endParaRPr lang="en-IN"/>
              </a:p>
            </c:rich>
          </c:tx>
          <c:spPr>
            <a:noFill/>
            <a:ln>
              <a:noFill/>
            </a:ln>
            <a:effectLst/>
          </c:spPr>
          <c:txPr>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s>
    <c:plotArea>
      <c:layout>
        <c:manualLayout>
          <c:layoutTarget val="inner"/>
          <c:xMode val="edge"/>
          <c:yMode val="edge"/>
          <c:x val="6.5896559441697672E-2"/>
          <c:y val="0.1388888888888889"/>
          <c:w val="0.71405128014658548"/>
          <c:h val="0.8416746864975212"/>
        </c:manualLayout>
      </c:layout>
      <c:barChart>
        <c:barDir val="bar"/>
        <c:grouping val="clustered"/>
        <c:varyColors val="0"/>
        <c:ser>
          <c:idx val="0"/>
          <c:order val="0"/>
          <c:tx>
            <c:strRef>
              <c:f>'pivot Report'!$C$43:$C$44</c:f>
              <c:strCache>
                <c:ptCount val="1"/>
                <c:pt idx="0">
                  <c:v>Count of Patient Admission Flag</c:v>
                </c:pt>
              </c:strCache>
            </c:strRef>
          </c:tx>
          <c:spPr>
            <a:solidFill>
              <a:schemeClr val="accent2"/>
            </a:solidFill>
            <a:ln>
              <a:noFill/>
            </a:ln>
            <a:effectLst/>
          </c:spPr>
          <c:invertIfNegative val="0"/>
          <c:dLbls>
            <c:dLbl>
              <c:idx val="0"/>
              <c:tx>
                <c:rich>
                  <a:bodyPr/>
                  <a:lstStyle/>
                  <a:p>
                    <a:fld id="{2DFD6524-CB9E-492F-8B58-CB198A4AE5C3}"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2A5-4938-808F-F01310DCA300}"/>
                </c:ext>
              </c:extLst>
            </c:dLbl>
            <c:dLbl>
              <c:idx val="1"/>
              <c:tx>
                <c:rich>
                  <a:bodyPr/>
                  <a:lstStyle/>
                  <a:p>
                    <a:fld id="{79D2DC52-62C1-41D9-B7E8-1DBCD24D4839}"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2A5-4938-808F-F01310DCA300}"/>
                </c:ext>
              </c:extLst>
            </c:dLbl>
            <c:spPr>
              <a:noFill/>
              <a:ln>
                <a:noFill/>
              </a:ln>
              <a:effectLst/>
            </c:spPr>
            <c:txPr>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0"/>
              </c:ext>
            </c:extLst>
          </c:dLbls>
          <c:cat>
            <c:strRef>
              <c:f>'pivot Report'!$C$43:$C$44</c:f>
              <c:strCache>
                <c:ptCount val="2"/>
                <c:pt idx="0">
                  <c:v>FALSE</c:v>
                </c:pt>
                <c:pt idx="1">
                  <c:v>TRUE</c:v>
                </c:pt>
              </c:strCache>
            </c:strRef>
          </c:cat>
          <c:val>
            <c:numRef>
              <c:f>'pivot Report'!$C$43:$C$44</c:f>
              <c:numCache>
                <c:formatCode>0.00</c:formatCode>
                <c:ptCount val="2"/>
                <c:pt idx="0">
                  <c:v>250</c:v>
                </c:pt>
                <c:pt idx="1">
                  <c:v>235</c:v>
                </c:pt>
              </c:numCache>
            </c:numRef>
          </c:val>
          <c:extLst>
            <c:ext xmlns:c15="http://schemas.microsoft.com/office/drawing/2012/chart" uri="{02D57815-91ED-43cb-92C2-25804820EDAC}">
              <c15:datalabelsRange>
                <c15:f>'pivot Report'!$C$43:$C$44</c15:f>
                <c15:dlblRangeCache>
                  <c:ptCount val="2"/>
                  <c:pt idx="0">
                    <c:v>51.55%</c:v>
                  </c:pt>
                  <c:pt idx="1">
                    <c:v>48.45%</c:v>
                  </c:pt>
                </c15:dlblRangeCache>
              </c15:datalabelsRange>
            </c:ext>
            <c:ext xmlns:c16="http://schemas.microsoft.com/office/drawing/2014/chart" uri="{C3380CC4-5D6E-409C-BE32-E72D297353CC}">
              <c16:uniqueId val="{00000000-52A5-4938-808F-F01310DCA300}"/>
            </c:ext>
          </c:extLst>
        </c:ser>
        <c:ser>
          <c:idx val="1"/>
          <c:order val="1"/>
          <c:tx>
            <c:strRef>
              <c:f>'pivot Report'!$C$43:$C$44</c:f>
              <c:strCache>
                <c:ptCount val="1"/>
                <c:pt idx="0">
                  <c:v>Count of Patient Admission Flag2</c:v>
                </c:pt>
              </c:strCache>
            </c:strRef>
          </c:tx>
          <c:spPr>
            <a:solidFill>
              <a:schemeClr val="accent2"/>
            </a:solidFill>
            <a:ln>
              <a:noFill/>
            </a:ln>
            <a:effectLst/>
          </c:spPr>
          <c:invertIfNegative val="0"/>
          <c:cat>
            <c:strRef>
              <c:f>'pivot Report'!$C$43:$C$44</c:f>
              <c:strCache>
                <c:ptCount val="2"/>
                <c:pt idx="0">
                  <c:v>FALSE</c:v>
                </c:pt>
                <c:pt idx="1">
                  <c:v>TRUE</c:v>
                </c:pt>
              </c:strCache>
            </c:strRef>
          </c:cat>
          <c:val>
            <c:numRef>
              <c:f>'pivot Report'!$C$43:$C$44</c:f>
              <c:numCache>
                <c:formatCode>0.00%</c:formatCode>
                <c:ptCount val="2"/>
                <c:pt idx="0">
                  <c:v>0.51546391752577314</c:v>
                </c:pt>
                <c:pt idx="1">
                  <c:v>0.4845360824742268</c:v>
                </c:pt>
              </c:numCache>
            </c:numRef>
          </c:val>
          <c:extLst>
            <c:ext xmlns:c16="http://schemas.microsoft.com/office/drawing/2014/chart" uri="{C3380CC4-5D6E-409C-BE32-E72D297353CC}">
              <c16:uniqueId val="{00000001-52A5-4938-808F-F01310DCA300}"/>
            </c:ext>
          </c:extLst>
        </c:ser>
        <c:dLbls>
          <c:showLegendKey val="0"/>
          <c:showVal val="0"/>
          <c:showCatName val="0"/>
          <c:showSerName val="0"/>
          <c:showPercent val="0"/>
          <c:showBubbleSize val="0"/>
        </c:dLbls>
        <c:gapWidth val="182"/>
        <c:overlap val="-1"/>
        <c:axId val="1358230208"/>
        <c:axId val="441586064"/>
      </c:barChart>
      <c:catAx>
        <c:axId val="1358230208"/>
        <c:scaling>
          <c:orientation val="minMax"/>
        </c:scaling>
        <c:delete val="1"/>
        <c:axPos val="l"/>
        <c:numFmt formatCode="General" sourceLinked="1"/>
        <c:majorTickMark val="none"/>
        <c:minorTickMark val="none"/>
        <c:tickLblPos val="nextTo"/>
        <c:crossAx val="441586064"/>
        <c:crosses val="autoZero"/>
        <c:auto val="1"/>
        <c:lblAlgn val="ctr"/>
        <c:lblOffset val="100"/>
        <c:noMultiLvlLbl val="0"/>
      </c:catAx>
      <c:valAx>
        <c:axId val="441586064"/>
        <c:scaling>
          <c:orientation val="minMax"/>
        </c:scaling>
        <c:delete val="1"/>
        <c:axPos val="b"/>
        <c:numFmt formatCode="0.00" sourceLinked="1"/>
        <c:majorTickMark val="none"/>
        <c:minorTickMark val="none"/>
        <c:tickLblPos val="nextTo"/>
        <c:crossAx val="135823020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Dashboad.xlsx]pivot Report!PivotTable4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514424209075838E-2"/>
          <c:y val="0.19136140319246892"/>
          <c:w val="0.90764063811922757"/>
          <c:h val="0.65242640823743181"/>
        </c:manualLayout>
      </c:layout>
      <c:areaChart>
        <c:grouping val="standard"/>
        <c:varyColors val="0"/>
        <c:ser>
          <c:idx val="0"/>
          <c:order val="0"/>
          <c:tx>
            <c:strRef>
              <c:f>'pivot Report'!$F$6</c:f>
              <c:strCache>
                <c:ptCount val="1"/>
                <c:pt idx="0">
                  <c:v>Total</c:v>
                </c:pt>
              </c:strCache>
            </c:strRef>
          </c:tx>
          <c:spPr>
            <a:solidFill>
              <a:schemeClr val="accent1"/>
            </a:solidFill>
            <a:ln>
              <a:noFill/>
            </a:ln>
            <a:effectLst/>
          </c:spPr>
          <c:cat>
            <c:strRef>
              <c:f>'pivot Report'!$E$7:$E$37</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Report'!$F$7:$F$37</c:f>
              <c:numCache>
                <c:formatCode>General</c:formatCode>
                <c:ptCount val="30"/>
                <c:pt idx="0">
                  <c:v>17</c:v>
                </c:pt>
                <c:pt idx="1">
                  <c:v>10</c:v>
                </c:pt>
                <c:pt idx="2">
                  <c:v>23</c:v>
                </c:pt>
                <c:pt idx="3">
                  <c:v>15</c:v>
                </c:pt>
                <c:pt idx="4">
                  <c:v>14</c:v>
                </c:pt>
                <c:pt idx="5">
                  <c:v>11</c:v>
                </c:pt>
                <c:pt idx="6">
                  <c:v>15</c:v>
                </c:pt>
                <c:pt idx="7">
                  <c:v>20</c:v>
                </c:pt>
                <c:pt idx="8">
                  <c:v>21</c:v>
                </c:pt>
                <c:pt idx="9">
                  <c:v>17</c:v>
                </c:pt>
                <c:pt idx="10">
                  <c:v>17</c:v>
                </c:pt>
                <c:pt idx="11">
                  <c:v>17</c:v>
                </c:pt>
                <c:pt idx="12">
                  <c:v>17</c:v>
                </c:pt>
                <c:pt idx="13">
                  <c:v>11</c:v>
                </c:pt>
                <c:pt idx="14">
                  <c:v>23</c:v>
                </c:pt>
                <c:pt idx="15">
                  <c:v>14</c:v>
                </c:pt>
                <c:pt idx="16">
                  <c:v>22</c:v>
                </c:pt>
                <c:pt idx="17">
                  <c:v>16</c:v>
                </c:pt>
                <c:pt idx="18">
                  <c:v>13</c:v>
                </c:pt>
                <c:pt idx="19">
                  <c:v>14</c:v>
                </c:pt>
                <c:pt idx="20">
                  <c:v>12</c:v>
                </c:pt>
                <c:pt idx="21">
                  <c:v>12</c:v>
                </c:pt>
                <c:pt idx="22">
                  <c:v>20</c:v>
                </c:pt>
                <c:pt idx="23">
                  <c:v>19</c:v>
                </c:pt>
                <c:pt idx="24">
                  <c:v>13</c:v>
                </c:pt>
                <c:pt idx="25">
                  <c:v>15</c:v>
                </c:pt>
                <c:pt idx="26">
                  <c:v>19</c:v>
                </c:pt>
                <c:pt idx="27">
                  <c:v>17</c:v>
                </c:pt>
                <c:pt idx="28">
                  <c:v>15</c:v>
                </c:pt>
                <c:pt idx="29">
                  <c:v>16</c:v>
                </c:pt>
              </c:numCache>
            </c:numRef>
          </c:val>
          <c:extLst>
            <c:ext xmlns:c16="http://schemas.microsoft.com/office/drawing/2014/chart" uri="{C3380CC4-5D6E-409C-BE32-E72D297353CC}">
              <c16:uniqueId val="{00000000-52F4-48AB-AFD1-B3DBE511F752}"/>
            </c:ext>
          </c:extLst>
        </c:ser>
        <c:dLbls>
          <c:showLegendKey val="0"/>
          <c:showVal val="0"/>
          <c:showCatName val="0"/>
          <c:showSerName val="0"/>
          <c:showPercent val="0"/>
          <c:showBubbleSize val="0"/>
        </c:dLbls>
        <c:axId val="198760496"/>
        <c:axId val="1379191376"/>
      </c:areaChart>
      <c:catAx>
        <c:axId val="198760496"/>
        <c:scaling>
          <c:orientation val="minMax"/>
        </c:scaling>
        <c:delete val="1"/>
        <c:axPos val="b"/>
        <c:numFmt formatCode="General" sourceLinked="1"/>
        <c:majorTickMark val="out"/>
        <c:minorTickMark val="none"/>
        <c:tickLblPos val="nextTo"/>
        <c:crossAx val="1379191376"/>
        <c:crosses val="autoZero"/>
        <c:auto val="1"/>
        <c:lblAlgn val="ctr"/>
        <c:lblOffset val="100"/>
        <c:noMultiLvlLbl val="0"/>
      </c:catAx>
      <c:valAx>
        <c:axId val="1379191376"/>
        <c:scaling>
          <c:orientation val="minMax"/>
        </c:scaling>
        <c:delete val="1"/>
        <c:axPos val="l"/>
        <c:numFmt formatCode="General" sourceLinked="1"/>
        <c:majorTickMark val="none"/>
        <c:minorTickMark val="none"/>
        <c:tickLblPos val="nextTo"/>
        <c:crossAx val="1987604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5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Dashboad.xlsx]pivot Report!PivotTable5</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119948709606423E-2"/>
          <c:y val="0.44607907704050442"/>
          <c:w val="0.93975903614457812"/>
          <c:h val="0.51726665113090231"/>
        </c:manualLayout>
      </c:layout>
      <c:areaChart>
        <c:grouping val="standard"/>
        <c:varyColors val="0"/>
        <c:ser>
          <c:idx val="0"/>
          <c:order val="0"/>
          <c:tx>
            <c:strRef>
              <c:f>'pivot Report'!$J$14</c:f>
              <c:strCache>
                <c:ptCount val="1"/>
                <c:pt idx="0">
                  <c:v>Total</c:v>
                </c:pt>
              </c:strCache>
            </c:strRef>
          </c:tx>
          <c:spPr>
            <a:solidFill>
              <a:schemeClr val="accent1"/>
            </a:solidFill>
            <a:ln>
              <a:noFill/>
            </a:ln>
            <a:effectLst/>
          </c:spPr>
          <c:cat>
            <c:strRef>
              <c:f>'pivot Report'!$I$15:$I$45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Report'!$J$15:$J$45</c:f>
              <c:numCache>
                <c:formatCode>0.00</c:formatCode>
                <c:ptCount val="30"/>
                <c:pt idx="0">
                  <c:v>33.352941176470587</c:v>
                </c:pt>
                <c:pt idx="1">
                  <c:v>38.4</c:v>
                </c:pt>
                <c:pt idx="2">
                  <c:v>38.521739130434781</c:v>
                </c:pt>
                <c:pt idx="3">
                  <c:v>30.4</c:v>
                </c:pt>
                <c:pt idx="4">
                  <c:v>33.142857142857146</c:v>
                </c:pt>
                <c:pt idx="5">
                  <c:v>38.18181818181818</c:v>
                </c:pt>
                <c:pt idx="6">
                  <c:v>39.733333333333334</c:v>
                </c:pt>
                <c:pt idx="7">
                  <c:v>37</c:v>
                </c:pt>
                <c:pt idx="8">
                  <c:v>35.61904761904762</c:v>
                </c:pt>
                <c:pt idx="9">
                  <c:v>34.176470588235297</c:v>
                </c:pt>
                <c:pt idx="10">
                  <c:v>37.176470588235297</c:v>
                </c:pt>
                <c:pt idx="11">
                  <c:v>36.647058823529413</c:v>
                </c:pt>
                <c:pt idx="12">
                  <c:v>34.941176470588232</c:v>
                </c:pt>
                <c:pt idx="13">
                  <c:v>44</c:v>
                </c:pt>
                <c:pt idx="14">
                  <c:v>38.913043478260867</c:v>
                </c:pt>
                <c:pt idx="15">
                  <c:v>31</c:v>
                </c:pt>
                <c:pt idx="16">
                  <c:v>34.227272727272727</c:v>
                </c:pt>
                <c:pt idx="17">
                  <c:v>31</c:v>
                </c:pt>
                <c:pt idx="18">
                  <c:v>32.153846153846153</c:v>
                </c:pt>
                <c:pt idx="19">
                  <c:v>32.785714285714285</c:v>
                </c:pt>
                <c:pt idx="20">
                  <c:v>30</c:v>
                </c:pt>
                <c:pt idx="21">
                  <c:v>33.5</c:v>
                </c:pt>
                <c:pt idx="22">
                  <c:v>32.950000000000003</c:v>
                </c:pt>
                <c:pt idx="23">
                  <c:v>35.842105263157897</c:v>
                </c:pt>
                <c:pt idx="24">
                  <c:v>33.846153846153847</c:v>
                </c:pt>
                <c:pt idx="25">
                  <c:v>39.06666666666667</c:v>
                </c:pt>
                <c:pt idx="26">
                  <c:v>36.684210526315788</c:v>
                </c:pt>
                <c:pt idx="27">
                  <c:v>33.764705882352942</c:v>
                </c:pt>
                <c:pt idx="28">
                  <c:v>34.533333333333331</c:v>
                </c:pt>
                <c:pt idx="29">
                  <c:v>42.125</c:v>
                </c:pt>
              </c:numCache>
            </c:numRef>
          </c:val>
          <c:extLst>
            <c:ext xmlns:c16="http://schemas.microsoft.com/office/drawing/2014/chart" uri="{C3380CC4-5D6E-409C-BE32-E72D297353CC}">
              <c16:uniqueId val="{00000000-912C-4945-91EF-89FA1FE01AF6}"/>
            </c:ext>
          </c:extLst>
        </c:ser>
        <c:dLbls>
          <c:showLegendKey val="0"/>
          <c:showVal val="0"/>
          <c:showCatName val="0"/>
          <c:showSerName val="0"/>
          <c:showPercent val="0"/>
          <c:showBubbleSize val="0"/>
        </c:dLbls>
        <c:axId val="511682416"/>
        <c:axId val="441556304"/>
      </c:areaChart>
      <c:catAx>
        <c:axId val="511682416"/>
        <c:scaling>
          <c:orientation val="minMax"/>
        </c:scaling>
        <c:delete val="1"/>
        <c:axPos val="b"/>
        <c:numFmt formatCode="General" sourceLinked="1"/>
        <c:majorTickMark val="out"/>
        <c:minorTickMark val="none"/>
        <c:tickLblPos val="nextTo"/>
        <c:crossAx val="441556304"/>
        <c:crosses val="autoZero"/>
        <c:auto val="1"/>
        <c:lblAlgn val="ctr"/>
        <c:lblOffset val="100"/>
        <c:noMultiLvlLbl val="0"/>
      </c:catAx>
      <c:valAx>
        <c:axId val="441556304"/>
        <c:scaling>
          <c:orientation val="minMax"/>
        </c:scaling>
        <c:delete val="1"/>
        <c:axPos val="l"/>
        <c:numFmt formatCode="0.00" sourceLinked="1"/>
        <c:majorTickMark val="none"/>
        <c:minorTickMark val="none"/>
        <c:tickLblPos val="nextTo"/>
        <c:crossAx val="511682416"/>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Dashboad.xlsx]pivot Report!PivotTable6</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967080992174691E-2"/>
          <c:y val="0.18126414099314428"/>
          <c:w val="0.90865512889647426"/>
          <c:h val="0.63747666110036338"/>
        </c:manualLayout>
      </c:layout>
      <c:areaChart>
        <c:grouping val="standard"/>
        <c:varyColors val="0"/>
        <c:ser>
          <c:idx val="0"/>
          <c:order val="0"/>
          <c:tx>
            <c:strRef>
              <c:f>'pivot Report'!$M$14</c:f>
              <c:strCache>
                <c:ptCount val="1"/>
                <c:pt idx="0">
                  <c:v>Total</c:v>
                </c:pt>
              </c:strCache>
            </c:strRef>
          </c:tx>
          <c:spPr>
            <a:solidFill>
              <a:schemeClr val="accent1"/>
            </a:solidFill>
            <a:ln>
              <a:noFill/>
            </a:ln>
            <a:effectLst/>
          </c:spPr>
          <c:cat>
            <c:strRef>
              <c:f>'pivot Report'!$L$15:$L$45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Report'!$M$15:$M$45</c:f>
              <c:numCache>
                <c:formatCode>0.00</c:formatCode>
                <c:ptCount val="30"/>
                <c:pt idx="0">
                  <c:v>1.1176470588235294</c:v>
                </c:pt>
                <c:pt idx="1">
                  <c:v>2.6</c:v>
                </c:pt>
                <c:pt idx="2">
                  <c:v>1.173913043478261</c:v>
                </c:pt>
                <c:pt idx="3">
                  <c:v>1.9333333333333333</c:v>
                </c:pt>
                <c:pt idx="4">
                  <c:v>2.5</c:v>
                </c:pt>
                <c:pt idx="5">
                  <c:v>1.0909090909090908</c:v>
                </c:pt>
                <c:pt idx="6">
                  <c:v>1.3333333333333333</c:v>
                </c:pt>
                <c:pt idx="7">
                  <c:v>0.3</c:v>
                </c:pt>
                <c:pt idx="8">
                  <c:v>2.5714285714285716</c:v>
                </c:pt>
                <c:pt idx="9">
                  <c:v>1.3529411764705883</c:v>
                </c:pt>
                <c:pt idx="10">
                  <c:v>1.8235294117647058</c:v>
                </c:pt>
                <c:pt idx="11">
                  <c:v>1.5294117647058822</c:v>
                </c:pt>
                <c:pt idx="12">
                  <c:v>0.82352941176470584</c:v>
                </c:pt>
                <c:pt idx="13">
                  <c:v>2.4545454545454546</c:v>
                </c:pt>
                <c:pt idx="14">
                  <c:v>1.8695652173913044</c:v>
                </c:pt>
                <c:pt idx="15">
                  <c:v>0.7142857142857143</c:v>
                </c:pt>
                <c:pt idx="16">
                  <c:v>1.4090909090909092</c:v>
                </c:pt>
                <c:pt idx="17">
                  <c:v>0.3125</c:v>
                </c:pt>
                <c:pt idx="18">
                  <c:v>0.69230769230769229</c:v>
                </c:pt>
                <c:pt idx="19">
                  <c:v>1.6428571428571428</c:v>
                </c:pt>
                <c:pt idx="20">
                  <c:v>1.8333333333333333</c:v>
                </c:pt>
                <c:pt idx="21">
                  <c:v>2.1666666666666665</c:v>
                </c:pt>
                <c:pt idx="22">
                  <c:v>1</c:v>
                </c:pt>
                <c:pt idx="23">
                  <c:v>1.1052631578947369</c:v>
                </c:pt>
                <c:pt idx="24">
                  <c:v>1.4615384615384615</c:v>
                </c:pt>
                <c:pt idx="25">
                  <c:v>1.6666666666666667</c:v>
                </c:pt>
                <c:pt idx="26">
                  <c:v>0.42105263157894735</c:v>
                </c:pt>
                <c:pt idx="27">
                  <c:v>0.94117647058823528</c:v>
                </c:pt>
                <c:pt idx="28">
                  <c:v>1.2</c:v>
                </c:pt>
                <c:pt idx="29">
                  <c:v>1.1875</c:v>
                </c:pt>
              </c:numCache>
            </c:numRef>
          </c:val>
          <c:extLst>
            <c:ext xmlns:c16="http://schemas.microsoft.com/office/drawing/2014/chart" uri="{C3380CC4-5D6E-409C-BE32-E72D297353CC}">
              <c16:uniqueId val="{00000000-9176-4152-A9EF-400BF3599525}"/>
            </c:ext>
          </c:extLst>
        </c:ser>
        <c:dLbls>
          <c:showLegendKey val="0"/>
          <c:showVal val="0"/>
          <c:showCatName val="0"/>
          <c:showSerName val="0"/>
          <c:showPercent val="0"/>
          <c:showBubbleSize val="0"/>
        </c:dLbls>
        <c:axId val="1398740128"/>
        <c:axId val="441581264"/>
      </c:areaChart>
      <c:catAx>
        <c:axId val="1398740128"/>
        <c:scaling>
          <c:orientation val="minMax"/>
        </c:scaling>
        <c:delete val="1"/>
        <c:axPos val="b"/>
        <c:numFmt formatCode="General" sourceLinked="1"/>
        <c:majorTickMark val="out"/>
        <c:minorTickMark val="none"/>
        <c:tickLblPos val="nextTo"/>
        <c:crossAx val="441581264"/>
        <c:crosses val="autoZero"/>
        <c:auto val="1"/>
        <c:lblAlgn val="ctr"/>
        <c:lblOffset val="100"/>
        <c:noMultiLvlLbl val="0"/>
      </c:catAx>
      <c:valAx>
        <c:axId val="441581264"/>
        <c:scaling>
          <c:orientation val="minMax"/>
        </c:scaling>
        <c:delete val="1"/>
        <c:axPos val="l"/>
        <c:numFmt formatCode="0.00" sourceLinked="1"/>
        <c:majorTickMark val="none"/>
        <c:minorTickMark val="none"/>
        <c:tickLblPos val="nextTo"/>
        <c:crossAx val="139874012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Dashboad.xlsx]pivot Report!PivotTable7</c:name>
    <c:fmtId val="10"/>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484748309298678E-2"/>
          <c:y val="4.9715927626136226E-2"/>
          <c:w val="0.88703050338140266"/>
          <c:h val="0.75806350589936244"/>
        </c:manualLayout>
      </c:layout>
      <c:barChart>
        <c:barDir val="col"/>
        <c:grouping val="clustered"/>
        <c:varyColors val="0"/>
        <c:ser>
          <c:idx val="0"/>
          <c:order val="0"/>
          <c:tx>
            <c:strRef>
              <c:f>'pivot Report'!$B$59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Report'!$A$60:$A$68</c:f>
              <c:strCache>
                <c:ptCount val="8"/>
                <c:pt idx="0">
                  <c:v>0-09</c:v>
                </c:pt>
                <c:pt idx="1">
                  <c:v>10-19</c:v>
                </c:pt>
                <c:pt idx="2">
                  <c:v>20-29</c:v>
                </c:pt>
                <c:pt idx="3">
                  <c:v>30-39</c:v>
                </c:pt>
                <c:pt idx="4">
                  <c:v>40-49</c:v>
                </c:pt>
                <c:pt idx="5">
                  <c:v>50-59</c:v>
                </c:pt>
                <c:pt idx="6">
                  <c:v>60-69</c:v>
                </c:pt>
                <c:pt idx="7">
                  <c:v>70-69</c:v>
                </c:pt>
              </c:strCache>
            </c:strRef>
          </c:cat>
          <c:val>
            <c:numRef>
              <c:f>'pivot Report'!$B$60:$B$68</c:f>
              <c:numCache>
                <c:formatCode>0</c:formatCode>
                <c:ptCount val="8"/>
                <c:pt idx="0">
                  <c:v>59</c:v>
                </c:pt>
                <c:pt idx="1">
                  <c:v>55</c:v>
                </c:pt>
                <c:pt idx="2">
                  <c:v>69</c:v>
                </c:pt>
                <c:pt idx="3">
                  <c:v>64</c:v>
                </c:pt>
                <c:pt idx="4">
                  <c:v>56</c:v>
                </c:pt>
                <c:pt idx="5">
                  <c:v>60</c:v>
                </c:pt>
                <c:pt idx="6">
                  <c:v>51</c:v>
                </c:pt>
                <c:pt idx="7">
                  <c:v>71</c:v>
                </c:pt>
              </c:numCache>
            </c:numRef>
          </c:val>
          <c:extLst>
            <c:ext xmlns:c16="http://schemas.microsoft.com/office/drawing/2014/chart" uri="{C3380CC4-5D6E-409C-BE32-E72D297353CC}">
              <c16:uniqueId val="{00000000-EF00-42D8-AEA8-5189A47D508F}"/>
            </c:ext>
          </c:extLst>
        </c:ser>
        <c:dLbls>
          <c:showLegendKey val="0"/>
          <c:showVal val="0"/>
          <c:showCatName val="0"/>
          <c:showSerName val="0"/>
          <c:showPercent val="0"/>
          <c:showBubbleSize val="0"/>
        </c:dLbls>
        <c:gapWidth val="219"/>
        <c:overlap val="-27"/>
        <c:axId val="198729872"/>
        <c:axId val="505355536"/>
      </c:barChart>
      <c:catAx>
        <c:axId val="198729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355536"/>
        <c:crosses val="autoZero"/>
        <c:auto val="1"/>
        <c:lblAlgn val="ctr"/>
        <c:lblOffset val="100"/>
        <c:noMultiLvlLbl val="0"/>
      </c:catAx>
      <c:valAx>
        <c:axId val="505355536"/>
        <c:scaling>
          <c:orientation val="minMax"/>
        </c:scaling>
        <c:delete val="1"/>
        <c:axPos val="l"/>
        <c:numFmt formatCode="0" sourceLinked="1"/>
        <c:majorTickMark val="none"/>
        <c:minorTickMark val="none"/>
        <c:tickLblPos val="nextTo"/>
        <c:crossAx val="198729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Dashboad.xlsx]pivot Report!PivotTable8</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s>
    <c:plotArea>
      <c:layout>
        <c:manualLayout>
          <c:layoutTarget val="inner"/>
          <c:xMode val="edge"/>
          <c:yMode val="edge"/>
          <c:x val="0.17680103561429392"/>
          <c:y val="0.23092276365395858"/>
          <c:w val="0.69293262056004024"/>
          <c:h val="0.70615687096070123"/>
        </c:manualLayout>
      </c:layout>
      <c:pieChart>
        <c:varyColors val="1"/>
        <c:ser>
          <c:idx val="0"/>
          <c:order val="0"/>
          <c:tx>
            <c:strRef>
              <c:f>'pivot Report'!$B$71</c:f>
              <c:strCache>
                <c:ptCount val="1"/>
                <c:pt idx="0">
                  <c:v>Total</c:v>
                </c:pt>
              </c:strCache>
            </c:strRef>
          </c:tx>
          <c:spPr>
            <a:effectLst/>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65C1-45B8-BDEE-9F40CEE2C0D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65C1-45B8-BDEE-9F40CEE2C0D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Report'!$A$72:$A$74</c:f>
              <c:strCache>
                <c:ptCount val="2"/>
                <c:pt idx="0">
                  <c:v>Delay</c:v>
                </c:pt>
                <c:pt idx="1">
                  <c:v>Ontime</c:v>
                </c:pt>
              </c:strCache>
            </c:strRef>
          </c:cat>
          <c:val>
            <c:numRef>
              <c:f>'pivot Report'!$B$72:$B$74</c:f>
              <c:numCache>
                <c:formatCode>0</c:formatCode>
                <c:ptCount val="2"/>
                <c:pt idx="0">
                  <c:v>297</c:v>
                </c:pt>
                <c:pt idx="1">
                  <c:v>188</c:v>
                </c:pt>
              </c:numCache>
            </c:numRef>
          </c:val>
          <c:extLst>
            <c:ext xmlns:c16="http://schemas.microsoft.com/office/drawing/2014/chart" uri="{C3380CC4-5D6E-409C-BE32-E72D297353CC}">
              <c16:uniqueId val="{00000004-65C1-45B8-BDEE-9F40CEE2C0D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313190704807585"/>
          <c:y val="2.7698449507203671E-2"/>
          <c:w val="0.76247184751695263"/>
          <c:h val="0.177558790326308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Dashboad.xlsx]pivot Report!PivotTable9</c:name>
    <c:fmtId val="26"/>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5540876655059513"/>
                  <c:h val="0.29939045146532201"/>
                </c:manualLayout>
              </c15:layout>
            </c:ext>
          </c:extLst>
        </c:dLbl>
      </c:pivotFmt>
    </c:pivotFmts>
    <c:plotArea>
      <c:layout>
        <c:manualLayout>
          <c:layoutTarget val="inner"/>
          <c:xMode val="edge"/>
          <c:yMode val="edge"/>
          <c:x val="0.14681606328528121"/>
          <c:y val="0.2021223000358558"/>
          <c:w val="0.73973512114714968"/>
          <c:h val="0.77482106142234042"/>
        </c:manualLayout>
      </c:layout>
      <c:doughnutChart>
        <c:varyColors val="1"/>
        <c:ser>
          <c:idx val="0"/>
          <c:order val="0"/>
          <c:tx>
            <c:strRef>
              <c:f>'pivot Report'!$B$78</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4206-4478-828C-50EAEF3DFB37}"/>
              </c:ext>
            </c:extLst>
          </c:dPt>
          <c:dPt>
            <c:idx val="1"/>
            <c:bubble3D val="0"/>
            <c:spPr>
              <a:solidFill>
                <a:schemeClr val="accent2"/>
              </a:solidFill>
              <a:ln>
                <a:noFill/>
              </a:ln>
              <a:effectLst/>
            </c:spPr>
            <c:extLst>
              <c:ext xmlns:c16="http://schemas.microsoft.com/office/drawing/2014/chart" uri="{C3380CC4-5D6E-409C-BE32-E72D297353CC}">
                <c16:uniqueId val="{00000003-4206-4478-828C-50EAEF3DFB37}"/>
              </c:ext>
            </c:extLst>
          </c:dPt>
          <c:dLbls>
            <c:dLbl>
              <c:idx val="1"/>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5540876655059513"/>
                      <c:h val="0.29939045146532201"/>
                    </c:manualLayout>
                  </c15:layout>
                </c:ext>
                <c:ext xmlns:c16="http://schemas.microsoft.com/office/drawing/2014/chart" uri="{C3380CC4-5D6E-409C-BE32-E72D297353CC}">
                  <c16:uniqueId val="{00000003-4206-4478-828C-50EAEF3DFB37}"/>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Report'!$A$79:$A$81</c:f>
              <c:strCache>
                <c:ptCount val="2"/>
                <c:pt idx="0">
                  <c:v>Female</c:v>
                </c:pt>
                <c:pt idx="1">
                  <c:v>Male</c:v>
                </c:pt>
              </c:strCache>
            </c:strRef>
          </c:cat>
          <c:val>
            <c:numRef>
              <c:f>'pivot Report'!$B$79:$B$81</c:f>
              <c:numCache>
                <c:formatCode>0.00</c:formatCode>
                <c:ptCount val="2"/>
                <c:pt idx="0">
                  <c:v>239</c:v>
                </c:pt>
                <c:pt idx="1">
                  <c:v>246</c:v>
                </c:pt>
              </c:numCache>
            </c:numRef>
          </c:val>
          <c:extLst>
            <c:ext xmlns:c16="http://schemas.microsoft.com/office/drawing/2014/chart" uri="{C3380CC4-5D6E-409C-BE32-E72D297353CC}">
              <c16:uniqueId val="{00000004-4206-4478-828C-50EAEF3DFB37}"/>
            </c:ext>
          </c:extLst>
        </c:ser>
        <c:dLbls>
          <c:showLegendKey val="0"/>
          <c:showVal val="0"/>
          <c:showCatName val="0"/>
          <c:showSerName val="0"/>
          <c:showPercent val="1"/>
          <c:showBubbleSize val="0"/>
          <c:showLeaderLines val="1"/>
        </c:dLbls>
        <c:firstSliceAng val="0"/>
        <c:holeSize val="36"/>
      </c:doughnutChart>
      <c:spPr>
        <a:noFill/>
        <a:ln>
          <a:noFill/>
        </a:ln>
        <a:effectLst/>
      </c:spPr>
    </c:plotArea>
    <c:legend>
      <c:legendPos val="r"/>
      <c:layout>
        <c:manualLayout>
          <c:xMode val="edge"/>
          <c:yMode val="edge"/>
          <c:x val="2.7043426042757623E-2"/>
          <c:y val="2.2990373399537956E-2"/>
          <c:w val="0.94645646493639257"/>
          <c:h val="0.15705564910337813"/>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Dashboad.xlsx]pivot Report!PivotTable10</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Report'!$B$85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Report'!$A$86:$A$94</c:f>
              <c:strCache>
                <c:ptCount val="8"/>
                <c:pt idx="0">
                  <c:v>Renal</c:v>
                </c:pt>
                <c:pt idx="1">
                  <c:v>Physiotherapy</c:v>
                </c:pt>
                <c:pt idx="2">
                  <c:v>Neurology</c:v>
                </c:pt>
                <c:pt idx="3">
                  <c:v>Gastroenterology</c:v>
                </c:pt>
                <c:pt idx="4">
                  <c:v>Cardiology</c:v>
                </c:pt>
                <c:pt idx="5">
                  <c:v>Orthopedics</c:v>
                </c:pt>
                <c:pt idx="6">
                  <c:v>General Practice</c:v>
                </c:pt>
                <c:pt idx="7">
                  <c:v>None</c:v>
                </c:pt>
              </c:strCache>
            </c:strRef>
          </c:cat>
          <c:val>
            <c:numRef>
              <c:f>'pivot Report'!$B$86:$B$94</c:f>
              <c:numCache>
                <c:formatCode>0</c:formatCode>
                <c:ptCount val="8"/>
                <c:pt idx="0">
                  <c:v>2</c:v>
                </c:pt>
                <c:pt idx="1">
                  <c:v>11</c:v>
                </c:pt>
                <c:pt idx="2">
                  <c:v>12</c:v>
                </c:pt>
                <c:pt idx="3">
                  <c:v>12</c:v>
                </c:pt>
                <c:pt idx="4">
                  <c:v>13</c:v>
                </c:pt>
                <c:pt idx="5">
                  <c:v>53</c:v>
                </c:pt>
                <c:pt idx="6">
                  <c:v>91</c:v>
                </c:pt>
                <c:pt idx="7">
                  <c:v>291</c:v>
                </c:pt>
              </c:numCache>
            </c:numRef>
          </c:val>
          <c:extLst>
            <c:ext xmlns:c16="http://schemas.microsoft.com/office/drawing/2014/chart" uri="{C3380CC4-5D6E-409C-BE32-E72D297353CC}">
              <c16:uniqueId val="{00000000-9E7D-47CD-887E-D4B6B05E7E40}"/>
            </c:ext>
          </c:extLst>
        </c:ser>
        <c:dLbls>
          <c:showLegendKey val="0"/>
          <c:showVal val="0"/>
          <c:showCatName val="0"/>
          <c:showSerName val="0"/>
          <c:showPercent val="0"/>
          <c:showBubbleSize val="0"/>
        </c:dLbls>
        <c:gapWidth val="65"/>
        <c:axId val="1358218608"/>
        <c:axId val="505353616"/>
      </c:barChart>
      <c:catAx>
        <c:axId val="1358218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505353616"/>
        <c:crosses val="autoZero"/>
        <c:auto val="1"/>
        <c:lblAlgn val="ctr"/>
        <c:lblOffset val="100"/>
        <c:noMultiLvlLbl val="0"/>
      </c:catAx>
      <c:valAx>
        <c:axId val="505353616"/>
        <c:scaling>
          <c:orientation val="minMax"/>
        </c:scaling>
        <c:delete val="1"/>
        <c:axPos val="b"/>
        <c:numFmt formatCode="0" sourceLinked="1"/>
        <c:majorTickMark val="none"/>
        <c:minorTickMark val="none"/>
        <c:tickLblPos val="nextTo"/>
        <c:crossAx val="1358218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Dashboad.xlsx]pivot Report!PivotTable4</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514424209075838E-2"/>
          <c:y val="0.19136140319246892"/>
          <c:w val="0.90764063811922757"/>
          <c:h val="0.65242640823743181"/>
        </c:manualLayout>
      </c:layout>
      <c:areaChart>
        <c:grouping val="standard"/>
        <c:varyColors val="0"/>
        <c:ser>
          <c:idx val="0"/>
          <c:order val="0"/>
          <c:tx>
            <c:strRef>
              <c:f>'pivot Report'!$F$6</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Report'!$E$7:$E$37</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Report'!$F$7:$F$37</c:f>
              <c:numCache>
                <c:formatCode>General</c:formatCode>
                <c:ptCount val="30"/>
                <c:pt idx="0">
                  <c:v>17</c:v>
                </c:pt>
                <c:pt idx="1">
                  <c:v>10</c:v>
                </c:pt>
                <c:pt idx="2">
                  <c:v>23</c:v>
                </c:pt>
                <c:pt idx="3">
                  <c:v>15</c:v>
                </c:pt>
                <c:pt idx="4">
                  <c:v>14</c:v>
                </c:pt>
                <c:pt idx="5">
                  <c:v>11</c:v>
                </c:pt>
                <c:pt idx="6">
                  <c:v>15</c:v>
                </c:pt>
                <c:pt idx="7">
                  <c:v>20</c:v>
                </c:pt>
                <c:pt idx="8">
                  <c:v>21</c:v>
                </c:pt>
                <c:pt idx="9">
                  <c:v>17</c:v>
                </c:pt>
                <c:pt idx="10">
                  <c:v>17</c:v>
                </c:pt>
                <c:pt idx="11">
                  <c:v>17</c:v>
                </c:pt>
                <c:pt idx="12">
                  <c:v>17</c:v>
                </c:pt>
                <c:pt idx="13">
                  <c:v>11</c:v>
                </c:pt>
                <c:pt idx="14">
                  <c:v>23</c:v>
                </c:pt>
                <c:pt idx="15">
                  <c:v>14</c:v>
                </c:pt>
                <c:pt idx="16">
                  <c:v>22</c:v>
                </c:pt>
                <c:pt idx="17">
                  <c:v>16</c:v>
                </c:pt>
                <c:pt idx="18">
                  <c:v>13</c:v>
                </c:pt>
                <c:pt idx="19">
                  <c:v>14</c:v>
                </c:pt>
                <c:pt idx="20">
                  <c:v>12</c:v>
                </c:pt>
                <c:pt idx="21">
                  <c:v>12</c:v>
                </c:pt>
                <c:pt idx="22">
                  <c:v>20</c:v>
                </c:pt>
                <c:pt idx="23">
                  <c:v>19</c:v>
                </c:pt>
                <c:pt idx="24">
                  <c:v>13</c:v>
                </c:pt>
                <c:pt idx="25">
                  <c:v>15</c:v>
                </c:pt>
                <c:pt idx="26">
                  <c:v>19</c:v>
                </c:pt>
                <c:pt idx="27">
                  <c:v>17</c:v>
                </c:pt>
                <c:pt idx="28">
                  <c:v>15</c:v>
                </c:pt>
                <c:pt idx="29">
                  <c:v>16</c:v>
                </c:pt>
              </c:numCache>
            </c:numRef>
          </c:val>
          <c:extLst>
            <c:ext xmlns:c16="http://schemas.microsoft.com/office/drawing/2014/chart" uri="{C3380CC4-5D6E-409C-BE32-E72D297353CC}">
              <c16:uniqueId val="{00000000-16D1-4436-938B-7CAD5F4EF89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98760496"/>
        <c:axId val="1379191376"/>
      </c:areaChart>
      <c:catAx>
        <c:axId val="19876049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379191376"/>
        <c:crosses val="autoZero"/>
        <c:auto val="1"/>
        <c:lblAlgn val="ctr"/>
        <c:lblOffset val="100"/>
        <c:noMultiLvlLbl val="0"/>
      </c:catAx>
      <c:valAx>
        <c:axId val="1379191376"/>
        <c:scaling>
          <c:orientation val="minMax"/>
        </c:scaling>
        <c:delete val="1"/>
        <c:axPos val="l"/>
        <c:numFmt formatCode="General" sourceLinked="1"/>
        <c:majorTickMark val="out"/>
        <c:minorTickMark val="none"/>
        <c:tickLblPos val="nextTo"/>
        <c:crossAx val="1987604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lin ang="0" scaled="1"/>
      <a:tileRect/>
    </a:gradFill>
    <a:ln w="9525" cap="flat" cmpd="sng" algn="ctr">
      <a:solidFill>
        <a:schemeClr val="accent6"/>
      </a:solidFill>
      <a:round/>
    </a:ln>
    <a:effectLst>
      <a:outerShdw blurRad="50800" dist="38100" dir="5400000" algn="t" rotWithShape="0">
        <a:prstClr val="black">
          <a:alpha val="40000"/>
        </a:prstClr>
      </a:outerShdw>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Dashboad.xlsx]pivot Report!PivotTable5</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119948709606423E-2"/>
          <c:y val="0.44607907704050442"/>
          <c:w val="0.93975903614457812"/>
          <c:h val="0.51726665113090231"/>
        </c:manualLayout>
      </c:layout>
      <c:areaChart>
        <c:grouping val="standard"/>
        <c:varyColors val="0"/>
        <c:ser>
          <c:idx val="0"/>
          <c:order val="0"/>
          <c:tx>
            <c:strRef>
              <c:f>'pivot Report'!$J$14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Report'!$I$15:$I$45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Report'!$J$15:$J$45</c:f>
              <c:numCache>
                <c:formatCode>0.00</c:formatCode>
                <c:ptCount val="30"/>
                <c:pt idx="0">
                  <c:v>33.352941176470587</c:v>
                </c:pt>
                <c:pt idx="1">
                  <c:v>38.4</c:v>
                </c:pt>
                <c:pt idx="2">
                  <c:v>38.521739130434781</c:v>
                </c:pt>
                <c:pt idx="3">
                  <c:v>30.4</c:v>
                </c:pt>
                <c:pt idx="4">
                  <c:v>33.142857142857146</c:v>
                </c:pt>
                <c:pt idx="5">
                  <c:v>38.18181818181818</c:v>
                </c:pt>
                <c:pt idx="6">
                  <c:v>39.733333333333334</c:v>
                </c:pt>
                <c:pt idx="7">
                  <c:v>37</c:v>
                </c:pt>
                <c:pt idx="8">
                  <c:v>35.61904761904762</c:v>
                </c:pt>
                <c:pt idx="9">
                  <c:v>34.176470588235297</c:v>
                </c:pt>
                <c:pt idx="10">
                  <c:v>37.176470588235297</c:v>
                </c:pt>
                <c:pt idx="11">
                  <c:v>36.647058823529413</c:v>
                </c:pt>
                <c:pt idx="12">
                  <c:v>34.941176470588232</c:v>
                </c:pt>
                <c:pt idx="13">
                  <c:v>44</c:v>
                </c:pt>
                <c:pt idx="14">
                  <c:v>38.913043478260867</c:v>
                </c:pt>
                <c:pt idx="15">
                  <c:v>31</c:v>
                </c:pt>
                <c:pt idx="16">
                  <c:v>34.227272727272727</c:v>
                </c:pt>
                <c:pt idx="17">
                  <c:v>31</c:v>
                </c:pt>
                <c:pt idx="18">
                  <c:v>32.153846153846153</c:v>
                </c:pt>
                <c:pt idx="19">
                  <c:v>32.785714285714285</c:v>
                </c:pt>
                <c:pt idx="20">
                  <c:v>30</c:v>
                </c:pt>
                <c:pt idx="21">
                  <c:v>33.5</c:v>
                </c:pt>
                <c:pt idx="22">
                  <c:v>32.950000000000003</c:v>
                </c:pt>
                <c:pt idx="23">
                  <c:v>35.842105263157897</c:v>
                </c:pt>
                <c:pt idx="24">
                  <c:v>33.846153846153847</c:v>
                </c:pt>
                <c:pt idx="25">
                  <c:v>39.06666666666667</c:v>
                </c:pt>
                <c:pt idx="26">
                  <c:v>36.684210526315788</c:v>
                </c:pt>
                <c:pt idx="27">
                  <c:v>33.764705882352942</c:v>
                </c:pt>
                <c:pt idx="28">
                  <c:v>34.533333333333331</c:v>
                </c:pt>
                <c:pt idx="29">
                  <c:v>42.125</c:v>
                </c:pt>
              </c:numCache>
            </c:numRef>
          </c:val>
          <c:extLst>
            <c:ext xmlns:c16="http://schemas.microsoft.com/office/drawing/2014/chart" uri="{C3380CC4-5D6E-409C-BE32-E72D297353CC}">
              <c16:uniqueId val="{00000000-04A2-461A-B19F-644F8192BF9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11682416"/>
        <c:axId val="441556304"/>
      </c:areaChart>
      <c:catAx>
        <c:axId val="51168241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41556304"/>
        <c:crosses val="autoZero"/>
        <c:auto val="1"/>
        <c:lblAlgn val="ctr"/>
        <c:lblOffset val="100"/>
        <c:noMultiLvlLbl val="0"/>
      </c:catAx>
      <c:valAx>
        <c:axId val="441556304"/>
        <c:scaling>
          <c:orientation val="minMax"/>
        </c:scaling>
        <c:delete val="1"/>
        <c:axPos val="l"/>
        <c:numFmt formatCode="0.00" sourceLinked="1"/>
        <c:majorTickMark val="out"/>
        <c:minorTickMark val="none"/>
        <c:tickLblPos val="nextTo"/>
        <c:crossAx val="51168241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accent1"/>
      </a:solidFill>
      <a:round/>
    </a:ln>
    <a:effectLst/>
  </c:spPr>
  <c:txPr>
    <a:bodyPr/>
    <a:lstStyle/>
    <a:p>
      <a:pPr>
        <a:defRPr sz="900">
          <a:solidFill>
            <a:schemeClr val="tx1">
              <a:lumMod val="95000"/>
              <a:lumOff val="5000"/>
            </a:schemeClr>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Dashboad.xlsx]pivot Report!PivotTable6</c:name>
    <c:fmtId val="2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273716085729459E-2"/>
          <c:y val="0.18126165833044455"/>
          <c:w val="0.8514658576145544"/>
          <c:h val="0.63747666110036338"/>
        </c:manualLayout>
      </c:layout>
      <c:areaChart>
        <c:grouping val="standard"/>
        <c:varyColors val="0"/>
        <c:ser>
          <c:idx val="0"/>
          <c:order val="0"/>
          <c:tx>
            <c:strRef>
              <c:f>'pivot Report'!$M$14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Report'!$L$15:$L$45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Report'!$M$15:$M$45</c:f>
              <c:numCache>
                <c:formatCode>0.00</c:formatCode>
                <c:ptCount val="30"/>
                <c:pt idx="0">
                  <c:v>1.1176470588235294</c:v>
                </c:pt>
                <c:pt idx="1">
                  <c:v>2.6</c:v>
                </c:pt>
                <c:pt idx="2">
                  <c:v>1.173913043478261</c:v>
                </c:pt>
                <c:pt idx="3">
                  <c:v>1.9333333333333333</c:v>
                </c:pt>
                <c:pt idx="4">
                  <c:v>2.5</c:v>
                </c:pt>
                <c:pt idx="5">
                  <c:v>1.0909090909090908</c:v>
                </c:pt>
                <c:pt idx="6">
                  <c:v>1.3333333333333333</c:v>
                </c:pt>
                <c:pt idx="7">
                  <c:v>0.3</c:v>
                </c:pt>
                <c:pt idx="8">
                  <c:v>2.5714285714285716</c:v>
                </c:pt>
                <c:pt idx="9">
                  <c:v>1.3529411764705883</c:v>
                </c:pt>
                <c:pt idx="10">
                  <c:v>1.8235294117647058</c:v>
                </c:pt>
                <c:pt idx="11">
                  <c:v>1.5294117647058822</c:v>
                </c:pt>
                <c:pt idx="12">
                  <c:v>0.82352941176470584</c:v>
                </c:pt>
                <c:pt idx="13">
                  <c:v>2.4545454545454546</c:v>
                </c:pt>
                <c:pt idx="14">
                  <c:v>1.8695652173913044</c:v>
                </c:pt>
                <c:pt idx="15">
                  <c:v>0.7142857142857143</c:v>
                </c:pt>
                <c:pt idx="16">
                  <c:v>1.4090909090909092</c:v>
                </c:pt>
                <c:pt idx="17">
                  <c:v>0.3125</c:v>
                </c:pt>
                <c:pt idx="18">
                  <c:v>0.69230769230769229</c:v>
                </c:pt>
                <c:pt idx="19">
                  <c:v>1.6428571428571428</c:v>
                </c:pt>
                <c:pt idx="20">
                  <c:v>1.8333333333333333</c:v>
                </c:pt>
                <c:pt idx="21">
                  <c:v>2.1666666666666665</c:v>
                </c:pt>
                <c:pt idx="22">
                  <c:v>1</c:v>
                </c:pt>
                <c:pt idx="23">
                  <c:v>1.1052631578947369</c:v>
                </c:pt>
                <c:pt idx="24">
                  <c:v>1.4615384615384615</c:v>
                </c:pt>
                <c:pt idx="25">
                  <c:v>1.6666666666666667</c:v>
                </c:pt>
                <c:pt idx="26">
                  <c:v>0.42105263157894735</c:v>
                </c:pt>
                <c:pt idx="27">
                  <c:v>0.94117647058823528</c:v>
                </c:pt>
                <c:pt idx="28">
                  <c:v>1.2</c:v>
                </c:pt>
                <c:pt idx="29">
                  <c:v>1.1875</c:v>
                </c:pt>
              </c:numCache>
            </c:numRef>
          </c:val>
          <c:extLst>
            <c:ext xmlns:c16="http://schemas.microsoft.com/office/drawing/2014/chart" uri="{C3380CC4-5D6E-409C-BE32-E72D297353CC}">
              <c16:uniqueId val="{00000000-3B0E-4338-9736-65149069DBC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398740128"/>
        <c:axId val="441581264"/>
      </c:areaChart>
      <c:catAx>
        <c:axId val="139874012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41581264"/>
        <c:crosses val="autoZero"/>
        <c:auto val="1"/>
        <c:lblAlgn val="ctr"/>
        <c:lblOffset val="100"/>
        <c:noMultiLvlLbl val="0"/>
      </c:catAx>
      <c:valAx>
        <c:axId val="441581264"/>
        <c:scaling>
          <c:orientation val="minMax"/>
        </c:scaling>
        <c:delete val="1"/>
        <c:axPos val="l"/>
        <c:numFmt formatCode="0.00" sourceLinked="1"/>
        <c:majorTickMark val="out"/>
        <c:minorTickMark val="none"/>
        <c:tickLblPos val="nextTo"/>
        <c:crossAx val="139874012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s'!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 avg waittime daily trends'!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7620</xdr:colOff>
      <xdr:row>49</xdr:row>
      <xdr:rowOff>22860</xdr:rowOff>
    </xdr:from>
    <xdr:to>
      <xdr:col>4</xdr:col>
      <xdr:colOff>1272540</xdr:colOff>
      <xdr:row>51</xdr:row>
      <xdr:rowOff>22860</xdr:rowOff>
    </xdr:to>
    <xdr:graphicFrame macro="">
      <xdr:nvGraphicFramePr>
        <xdr:cNvPr id="6" name="Chart 5">
          <a:extLst>
            <a:ext uri="{FF2B5EF4-FFF2-40B4-BE49-F238E27FC236}">
              <a16:creationId xmlns:a16="http://schemas.microsoft.com/office/drawing/2014/main" id="{D031FB8A-64CD-A248-4A41-B8F15E47B1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30481</xdr:colOff>
      <xdr:row>0</xdr:row>
      <xdr:rowOff>26125</xdr:rowOff>
    </xdr:from>
    <xdr:to>
      <xdr:col>4</xdr:col>
      <xdr:colOff>56606</xdr:colOff>
      <xdr:row>1</xdr:row>
      <xdr:rowOff>156754</xdr:rowOff>
    </xdr:to>
    <xdr:sp macro="" textlink="">
      <xdr:nvSpPr>
        <xdr:cNvPr id="2" name="Rectangle: Rounded Corners 1">
          <a:extLst>
            <a:ext uri="{FF2B5EF4-FFF2-40B4-BE49-F238E27FC236}">
              <a16:creationId xmlns:a16="http://schemas.microsoft.com/office/drawing/2014/main" id="{CC65AB41-D88B-0774-3139-55E5B8DD7F9D}"/>
            </a:ext>
          </a:extLst>
        </xdr:cNvPr>
        <xdr:cNvSpPr/>
      </xdr:nvSpPr>
      <xdr:spPr>
        <a:xfrm>
          <a:off x="30481" y="26125"/>
          <a:ext cx="2464525" cy="313509"/>
        </a:xfrm>
        <a:prstGeom prst="roundRect">
          <a:avLst>
            <a:gd name="adj" fmla="val 450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60960</xdr:colOff>
      <xdr:row>0</xdr:row>
      <xdr:rowOff>26125</xdr:rowOff>
    </xdr:from>
    <xdr:to>
      <xdr:col>5</xdr:col>
      <xdr:colOff>343985</xdr:colOff>
      <xdr:row>1</xdr:row>
      <xdr:rowOff>161109</xdr:rowOff>
    </xdr:to>
    <xdr:sp macro="" textlink="">
      <xdr:nvSpPr>
        <xdr:cNvPr id="3" name="Rectangle: Rounded Corners 2">
          <a:extLst>
            <a:ext uri="{FF2B5EF4-FFF2-40B4-BE49-F238E27FC236}">
              <a16:creationId xmlns:a16="http://schemas.microsoft.com/office/drawing/2014/main" id="{6D9C7D86-23F9-7AE1-2879-67A6CB927555}"/>
            </a:ext>
          </a:extLst>
        </xdr:cNvPr>
        <xdr:cNvSpPr/>
      </xdr:nvSpPr>
      <xdr:spPr>
        <a:xfrm>
          <a:off x="2499360" y="26125"/>
          <a:ext cx="892625" cy="317864"/>
        </a:xfrm>
        <a:prstGeom prst="roundRect">
          <a:avLst>
            <a:gd name="adj" fmla="val 720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370110</xdr:colOff>
      <xdr:row>0</xdr:row>
      <xdr:rowOff>21771</xdr:rowOff>
    </xdr:from>
    <xdr:to>
      <xdr:col>7</xdr:col>
      <xdr:colOff>322212</xdr:colOff>
      <xdr:row>6</xdr:row>
      <xdr:rowOff>39189</xdr:rowOff>
    </xdr:to>
    <xdr:sp macro="" textlink="">
      <xdr:nvSpPr>
        <xdr:cNvPr id="4" name="Rectangle: Rounded Corners 3">
          <a:extLst>
            <a:ext uri="{FF2B5EF4-FFF2-40B4-BE49-F238E27FC236}">
              <a16:creationId xmlns:a16="http://schemas.microsoft.com/office/drawing/2014/main" id="{3E33A465-21A1-77EF-7E12-D48C548FB890}"/>
            </a:ext>
          </a:extLst>
        </xdr:cNvPr>
        <xdr:cNvSpPr/>
      </xdr:nvSpPr>
      <xdr:spPr>
        <a:xfrm>
          <a:off x="3418110" y="21771"/>
          <a:ext cx="1171302" cy="1114698"/>
        </a:xfrm>
        <a:prstGeom prst="roundRect">
          <a:avLst>
            <a:gd name="adj" fmla="val 338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343988</xdr:colOff>
      <xdr:row>0</xdr:row>
      <xdr:rowOff>26124</xdr:rowOff>
    </xdr:from>
    <xdr:to>
      <xdr:col>9</xdr:col>
      <xdr:colOff>365759</xdr:colOff>
      <xdr:row>6</xdr:row>
      <xdr:rowOff>52251</xdr:rowOff>
    </xdr:to>
    <xdr:sp macro="" textlink="">
      <xdr:nvSpPr>
        <xdr:cNvPr id="5" name="Rectangle: Rounded Corners 4">
          <a:extLst>
            <a:ext uri="{FF2B5EF4-FFF2-40B4-BE49-F238E27FC236}">
              <a16:creationId xmlns:a16="http://schemas.microsoft.com/office/drawing/2014/main" id="{6B2E288E-8F94-E53B-424D-ACB7CAB84CF7}"/>
            </a:ext>
          </a:extLst>
        </xdr:cNvPr>
        <xdr:cNvSpPr/>
      </xdr:nvSpPr>
      <xdr:spPr>
        <a:xfrm>
          <a:off x="4611188" y="26124"/>
          <a:ext cx="1240971" cy="1123407"/>
        </a:xfrm>
        <a:prstGeom prst="roundRect">
          <a:avLst>
            <a:gd name="adj" fmla="val 573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26133</xdr:colOff>
      <xdr:row>2</xdr:row>
      <xdr:rowOff>34833</xdr:rowOff>
    </xdr:from>
    <xdr:to>
      <xdr:col>1</xdr:col>
      <xdr:colOff>213360</xdr:colOff>
      <xdr:row>17</xdr:row>
      <xdr:rowOff>148046</xdr:rowOff>
    </xdr:to>
    <xdr:sp macro="" textlink="">
      <xdr:nvSpPr>
        <xdr:cNvPr id="6" name="Rectangle: Rounded Corners 5">
          <a:extLst>
            <a:ext uri="{FF2B5EF4-FFF2-40B4-BE49-F238E27FC236}">
              <a16:creationId xmlns:a16="http://schemas.microsoft.com/office/drawing/2014/main" id="{2CE00FAA-0A40-FF6F-99BA-66B81C58EF76}"/>
            </a:ext>
          </a:extLst>
        </xdr:cNvPr>
        <xdr:cNvSpPr/>
      </xdr:nvSpPr>
      <xdr:spPr>
        <a:xfrm>
          <a:off x="26133" y="400593"/>
          <a:ext cx="796827" cy="2856413"/>
        </a:xfrm>
        <a:prstGeom prst="roundRect">
          <a:avLst>
            <a:gd name="adj" fmla="val 450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274316</xdr:colOff>
      <xdr:row>2</xdr:row>
      <xdr:rowOff>13062</xdr:rowOff>
    </xdr:from>
    <xdr:to>
      <xdr:col>5</xdr:col>
      <xdr:colOff>343984</xdr:colOff>
      <xdr:row>4</xdr:row>
      <xdr:rowOff>174171</xdr:rowOff>
    </xdr:to>
    <xdr:grpSp>
      <xdr:nvGrpSpPr>
        <xdr:cNvPr id="10" name="Group 9">
          <a:extLst>
            <a:ext uri="{FF2B5EF4-FFF2-40B4-BE49-F238E27FC236}">
              <a16:creationId xmlns:a16="http://schemas.microsoft.com/office/drawing/2014/main" id="{B2E067E5-723D-522F-5509-806A38D49FD0}"/>
            </a:ext>
          </a:extLst>
        </xdr:cNvPr>
        <xdr:cNvGrpSpPr/>
      </xdr:nvGrpSpPr>
      <xdr:grpSpPr>
        <a:xfrm>
          <a:off x="883916" y="378822"/>
          <a:ext cx="2508068" cy="526869"/>
          <a:chOff x="814251" y="400594"/>
          <a:chExt cx="2468880" cy="409303"/>
        </a:xfrm>
      </xdr:grpSpPr>
      <xdr:sp macro="" textlink="">
        <xdr:nvSpPr>
          <xdr:cNvPr id="7" name="Rectangle: Rounded Corners 6">
            <a:extLst>
              <a:ext uri="{FF2B5EF4-FFF2-40B4-BE49-F238E27FC236}">
                <a16:creationId xmlns:a16="http://schemas.microsoft.com/office/drawing/2014/main" id="{F2B5D3B2-D723-F382-5A00-6A5174D744E3}"/>
              </a:ext>
            </a:extLst>
          </xdr:cNvPr>
          <xdr:cNvSpPr/>
        </xdr:nvSpPr>
        <xdr:spPr>
          <a:xfrm>
            <a:off x="814251" y="400594"/>
            <a:ext cx="814252" cy="409303"/>
          </a:xfrm>
          <a:prstGeom prst="roundRect">
            <a:avLst>
              <a:gd name="adj" fmla="val 450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D3B1F72B-8EAB-1A74-BF1D-151F40BEB55D}"/>
              </a:ext>
            </a:extLst>
          </xdr:cNvPr>
          <xdr:cNvSpPr/>
        </xdr:nvSpPr>
        <xdr:spPr>
          <a:xfrm>
            <a:off x="1641565" y="400594"/>
            <a:ext cx="814252" cy="409303"/>
          </a:xfrm>
          <a:prstGeom prst="roundRect">
            <a:avLst>
              <a:gd name="adj" fmla="val 450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28871889-E1E3-65EC-EC6B-7F377C640814}"/>
              </a:ext>
            </a:extLst>
          </xdr:cNvPr>
          <xdr:cNvSpPr/>
        </xdr:nvSpPr>
        <xdr:spPr>
          <a:xfrm>
            <a:off x="2468879" y="400594"/>
            <a:ext cx="814252" cy="409303"/>
          </a:xfrm>
          <a:prstGeom prst="roundRect">
            <a:avLst>
              <a:gd name="adj" fmla="val 450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absolute">
    <xdr:from>
      <xdr:col>1</xdr:col>
      <xdr:colOff>230777</xdr:colOff>
      <xdr:row>9</xdr:row>
      <xdr:rowOff>34833</xdr:rowOff>
    </xdr:from>
    <xdr:to>
      <xdr:col>5</xdr:col>
      <xdr:colOff>317861</xdr:colOff>
      <xdr:row>17</xdr:row>
      <xdr:rowOff>139336</xdr:rowOff>
    </xdr:to>
    <xdr:sp macro="" textlink="">
      <xdr:nvSpPr>
        <xdr:cNvPr id="12" name="Rectangle: Rounded Corners 11">
          <a:extLst>
            <a:ext uri="{FF2B5EF4-FFF2-40B4-BE49-F238E27FC236}">
              <a16:creationId xmlns:a16="http://schemas.microsoft.com/office/drawing/2014/main" id="{68A6C206-A1A0-7B57-AD57-8CBBF212EB46}"/>
            </a:ext>
          </a:extLst>
        </xdr:cNvPr>
        <xdr:cNvSpPr/>
      </xdr:nvSpPr>
      <xdr:spPr>
        <a:xfrm>
          <a:off x="840377" y="1680753"/>
          <a:ext cx="2525484" cy="1567543"/>
        </a:xfrm>
        <a:prstGeom prst="roundRect">
          <a:avLst>
            <a:gd name="adj" fmla="val 450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252551</xdr:colOff>
      <xdr:row>5</xdr:row>
      <xdr:rowOff>8709</xdr:rowOff>
    </xdr:from>
    <xdr:to>
      <xdr:col>5</xdr:col>
      <xdr:colOff>326573</xdr:colOff>
      <xdr:row>9</xdr:row>
      <xdr:rowOff>13064</xdr:rowOff>
    </xdr:to>
    <xdr:sp macro="" textlink="">
      <xdr:nvSpPr>
        <xdr:cNvPr id="13" name="Rectangle: Rounded Corners 12">
          <a:extLst>
            <a:ext uri="{FF2B5EF4-FFF2-40B4-BE49-F238E27FC236}">
              <a16:creationId xmlns:a16="http://schemas.microsoft.com/office/drawing/2014/main" id="{D87855CE-554B-DFB9-A659-697E0D335ADB}"/>
            </a:ext>
          </a:extLst>
        </xdr:cNvPr>
        <xdr:cNvSpPr/>
      </xdr:nvSpPr>
      <xdr:spPr>
        <a:xfrm>
          <a:off x="862151" y="923109"/>
          <a:ext cx="2512422" cy="735875"/>
        </a:xfrm>
        <a:prstGeom prst="roundRect">
          <a:avLst>
            <a:gd name="adj" fmla="val 450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361404</xdr:colOff>
      <xdr:row>6</xdr:row>
      <xdr:rowOff>91438</xdr:rowOff>
    </xdr:from>
    <xdr:to>
      <xdr:col>9</xdr:col>
      <xdr:colOff>378820</xdr:colOff>
      <xdr:row>17</xdr:row>
      <xdr:rowOff>130629</xdr:rowOff>
    </xdr:to>
    <xdr:sp macro="" textlink="">
      <xdr:nvSpPr>
        <xdr:cNvPr id="14" name="Rectangle: Rounded Corners 13">
          <a:extLst>
            <a:ext uri="{FF2B5EF4-FFF2-40B4-BE49-F238E27FC236}">
              <a16:creationId xmlns:a16="http://schemas.microsoft.com/office/drawing/2014/main" id="{2CC03D86-9FC8-0867-32E9-447A909B7168}"/>
            </a:ext>
          </a:extLst>
        </xdr:cNvPr>
        <xdr:cNvSpPr/>
      </xdr:nvSpPr>
      <xdr:spPr>
        <a:xfrm>
          <a:off x="3409404" y="1188718"/>
          <a:ext cx="2455816" cy="2050871"/>
        </a:xfrm>
        <a:prstGeom prst="roundRect">
          <a:avLst>
            <a:gd name="adj" fmla="val 338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505097</xdr:colOff>
      <xdr:row>0</xdr:row>
      <xdr:rowOff>52252</xdr:rowOff>
    </xdr:from>
    <xdr:to>
      <xdr:col>4</xdr:col>
      <xdr:colOff>26126</xdr:colOff>
      <xdr:row>1</xdr:row>
      <xdr:rowOff>95795</xdr:rowOff>
    </xdr:to>
    <xdr:sp macro="" textlink="">
      <xdr:nvSpPr>
        <xdr:cNvPr id="15" name="TextBox 14">
          <a:extLst>
            <a:ext uri="{FF2B5EF4-FFF2-40B4-BE49-F238E27FC236}">
              <a16:creationId xmlns:a16="http://schemas.microsoft.com/office/drawing/2014/main" id="{11297054-939D-3694-B323-948990CD3102}"/>
            </a:ext>
          </a:extLst>
        </xdr:cNvPr>
        <xdr:cNvSpPr txBox="1"/>
      </xdr:nvSpPr>
      <xdr:spPr>
        <a:xfrm>
          <a:off x="505097" y="52252"/>
          <a:ext cx="1959429" cy="226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b="1">
              <a:latin typeface="Arial" panose="020B0604020202020204" pitchFamily="34" charset="0"/>
              <a:cs typeface="Arial" panose="020B0604020202020204" pitchFamily="34" charset="0"/>
            </a:rPr>
            <a:t>Hospital Emergency</a:t>
          </a:r>
          <a:r>
            <a:rPr lang="en-IN" sz="800" b="1" baseline="0">
              <a:latin typeface="Arial" panose="020B0604020202020204" pitchFamily="34" charset="0"/>
              <a:cs typeface="Arial" panose="020B0604020202020204" pitchFamily="34" charset="0"/>
            </a:rPr>
            <a:t> Room Dashboard</a:t>
          </a:r>
          <a:endParaRPr lang="en-IN" sz="800" b="1">
            <a:latin typeface="Arial" panose="020B0604020202020204" pitchFamily="34" charset="0"/>
            <a:cs typeface="Arial" panose="020B0604020202020204" pitchFamily="34" charset="0"/>
          </a:endParaRPr>
        </a:p>
      </xdr:txBody>
    </xdr:sp>
    <xdr:clientData/>
  </xdr:twoCellAnchor>
  <xdr:twoCellAnchor editAs="oneCell">
    <xdr:from>
      <xdr:col>0</xdr:col>
      <xdr:colOff>34834</xdr:colOff>
      <xdr:row>0</xdr:row>
      <xdr:rowOff>30481</xdr:rowOff>
    </xdr:from>
    <xdr:to>
      <xdr:col>0</xdr:col>
      <xdr:colOff>605246</xdr:colOff>
      <xdr:row>1</xdr:row>
      <xdr:rowOff>148046</xdr:rowOff>
    </xdr:to>
    <xdr:pic>
      <xdr:nvPicPr>
        <xdr:cNvPr id="17" name="Picture 16">
          <a:extLst>
            <a:ext uri="{FF2B5EF4-FFF2-40B4-BE49-F238E27FC236}">
              <a16:creationId xmlns:a16="http://schemas.microsoft.com/office/drawing/2014/main" id="{F313AA41-D06E-DE5E-825E-353C47AD95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834" y="30481"/>
          <a:ext cx="570412" cy="300445"/>
        </a:xfrm>
        <a:prstGeom prst="rect">
          <a:avLst/>
        </a:prstGeom>
      </xdr:spPr>
    </xdr:pic>
    <xdr:clientData/>
  </xdr:twoCellAnchor>
  <xdr:twoCellAnchor>
    <xdr:from>
      <xdr:col>1</xdr:col>
      <xdr:colOff>326572</xdr:colOff>
      <xdr:row>0</xdr:row>
      <xdr:rowOff>178526</xdr:rowOff>
    </xdr:from>
    <xdr:to>
      <xdr:col>2</xdr:col>
      <xdr:colOff>570412</xdr:colOff>
      <xdr:row>1</xdr:row>
      <xdr:rowOff>130629</xdr:rowOff>
    </xdr:to>
    <xdr:sp macro="" textlink="">
      <xdr:nvSpPr>
        <xdr:cNvPr id="18" name="TextBox 17">
          <a:extLst>
            <a:ext uri="{FF2B5EF4-FFF2-40B4-BE49-F238E27FC236}">
              <a16:creationId xmlns:a16="http://schemas.microsoft.com/office/drawing/2014/main" id="{B98913E1-8DE9-93A2-31A9-2B0CAE698AC7}"/>
            </a:ext>
          </a:extLst>
        </xdr:cNvPr>
        <xdr:cNvSpPr txBox="1"/>
      </xdr:nvSpPr>
      <xdr:spPr>
        <a:xfrm>
          <a:off x="936172" y="178526"/>
          <a:ext cx="853440" cy="134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b="0">
              <a:latin typeface="+mj-lt"/>
              <a:cs typeface="Arial" panose="020B0604020202020204" pitchFamily="34" charset="0"/>
            </a:rPr>
            <a:t>Monthly Report</a:t>
          </a:r>
        </a:p>
      </xdr:txBody>
    </xdr:sp>
    <xdr:clientData/>
  </xdr:twoCellAnchor>
  <xdr:twoCellAnchor>
    <xdr:from>
      <xdr:col>1</xdr:col>
      <xdr:colOff>287384</xdr:colOff>
      <xdr:row>3</xdr:row>
      <xdr:rowOff>13065</xdr:rowOff>
    </xdr:from>
    <xdr:to>
      <xdr:col>2</xdr:col>
      <xdr:colOff>496389</xdr:colOff>
      <xdr:row>3</xdr:row>
      <xdr:rowOff>139339</xdr:rowOff>
    </xdr:to>
    <xdr:sp macro="" textlink="">
      <xdr:nvSpPr>
        <xdr:cNvPr id="19" name="TextBox 18">
          <a:extLst>
            <a:ext uri="{FF2B5EF4-FFF2-40B4-BE49-F238E27FC236}">
              <a16:creationId xmlns:a16="http://schemas.microsoft.com/office/drawing/2014/main" id="{704D8FAC-C143-4A72-8C54-6AE11C7CB38F}"/>
            </a:ext>
          </a:extLst>
        </xdr:cNvPr>
        <xdr:cNvSpPr txBox="1"/>
      </xdr:nvSpPr>
      <xdr:spPr>
        <a:xfrm>
          <a:off x="896984" y="561705"/>
          <a:ext cx="818605" cy="126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b="0">
              <a:latin typeface="+mj-lt"/>
              <a:cs typeface="Arial" panose="020B0604020202020204" pitchFamily="34" charset="0"/>
            </a:rPr>
            <a:t>No.</a:t>
          </a:r>
          <a:r>
            <a:rPr lang="en-IN" sz="800" b="0" baseline="0">
              <a:latin typeface="+mj-lt"/>
              <a:cs typeface="Arial" panose="020B0604020202020204" pitchFamily="34" charset="0"/>
            </a:rPr>
            <a:t> of Patient</a:t>
          </a:r>
          <a:endParaRPr lang="en-IN" sz="800" b="0">
            <a:latin typeface="+mj-lt"/>
            <a:cs typeface="Arial" panose="020B0604020202020204" pitchFamily="34" charset="0"/>
          </a:endParaRPr>
        </a:p>
      </xdr:txBody>
    </xdr:sp>
    <xdr:clientData/>
  </xdr:twoCellAnchor>
  <xdr:twoCellAnchor>
    <xdr:from>
      <xdr:col>1</xdr:col>
      <xdr:colOff>278676</xdr:colOff>
      <xdr:row>2</xdr:row>
      <xdr:rowOff>34835</xdr:rowOff>
    </xdr:from>
    <xdr:to>
      <xdr:col>2</xdr:col>
      <xdr:colOff>487681</xdr:colOff>
      <xdr:row>3</xdr:row>
      <xdr:rowOff>17416</xdr:rowOff>
    </xdr:to>
    <xdr:sp macro="" textlink="'pivot Report'!A5">
      <xdr:nvSpPr>
        <xdr:cNvPr id="20" name="TextBox 19">
          <a:extLst>
            <a:ext uri="{FF2B5EF4-FFF2-40B4-BE49-F238E27FC236}">
              <a16:creationId xmlns:a16="http://schemas.microsoft.com/office/drawing/2014/main" id="{18981876-202B-375D-9456-24B048A7B9FC}"/>
            </a:ext>
          </a:extLst>
        </xdr:cNvPr>
        <xdr:cNvSpPr txBox="1"/>
      </xdr:nvSpPr>
      <xdr:spPr>
        <a:xfrm>
          <a:off x="888276" y="400595"/>
          <a:ext cx="818605" cy="1654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3C2D4BA2-792C-427A-BD17-D9736E2CE2E2}" type="TxLink">
            <a:rPr lang="en-US" sz="1100" b="0" i="0" u="none" strike="noStrike">
              <a:solidFill>
                <a:srgbClr val="000000"/>
              </a:solidFill>
              <a:latin typeface="Calibri"/>
              <a:ea typeface="Calibri"/>
              <a:cs typeface="Calibri"/>
            </a:rPr>
            <a:pPr algn="ctr"/>
            <a:t>485</a:t>
          </a:fld>
          <a:endParaRPr lang="en-IN" sz="800" b="0">
            <a:latin typeface="Arial" panose="020B0604020202020204" pitchFamily="34" charset="0"/>
            <a:cs typeface="Arial" panose="020B0604020202020204" pitchFamily="34" charset="0"/>
          </a:endParaRPr>
        </a:p>
      </xdr:txBody>
    </xdr:sp>
    <xdr:clientData/>
  </xdr:twoCellAnchor>
  <xdr:twoCellAnchor>
    <xdr:from>
      <xdr:col>2</xdr:col>
      <xdr:colOff>505097</xdr:colOff>
      <xdr:row>2</xdr:row>
      <xdr:rowOff>30481</xdr:rowOff>
    </xdr:from>
    <xdr:to>
      <xdr:col>4</xdr:col>
      <xdr:colOff>100148</xdr:colOff>
      <xdr:row>3</xdr:row>
      <xdr:rowOff>13062</xdr:rowOff>
    </xdr:to>
    <xdr:sp macro="" textlink="'pivot Report'!A9">
      <xdr:nvSpPr>
        <xdr:cNvPr id="22" name="TextBox 21">
          <a:extLst>
            <a:ext uri="{FF2B5EF4-FFF2-40B4-BE49-F238E27FC236}">
              <a16:creationId xmlns:a16="http://schemas.microsoft.com/office/drawing/2014/main" id="{2E7B5698-FE0B-9739-CC09-554CC4EE60F0}"/>
            </a:ext>
          </a:extLst>
        </xdr:cNvPr>
        <xdr:cNvSpPr txBox="1"/>
      </xdr:nvSpPr>
      <xdr:spPr>
        <a:xfrm>
          <a:off x="1724297" y="396241"/>
          <a:ext cx="814251" cy="1654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BF58BF2C-0613-4383-B6B0-3FA1F96A1586}" type="TxLink">
            <a:rPr lang="en-US" sz="1100" b="0" i="0" u="none" strike="noStrike">
              <a:solidFill>
                <a:srgbClr val="000000"/>
              </a:solidFill>
              <a:latin typeface="Calibri"/>
              <a:ea typeface="Calibri"/>
              <a:cs typeface="Calibri"/>
            </a:rPr>
            <a:t>35.51</a:t>
          </a:fld>
          <a:endParaRPr lang="en-IN" sz="800" b="0">
            <a:latin typeface="Arial" panose="020B0604020202020204" pitchFamily="34" charset="0"/>
            <a:cs typeface="Arial" panose="020B0604020202020204" pitchFamily="34" charset="0"/>
          </a:endParaRPr>
        </a:p>
      </xdr:txBody>
    </xdr:sp>
    <xdr:clientData/>
  </xdr:twoCellAnchor>
  <xdr:twoCellAnchor>
    <xdr:from>
      <xdr:col>2</xdr:col>
      <xdr:colOff>500743</xdr:colOff>
      <xdr:row>3</xdr:row>
      <xdr:rowOff>17418</xdr:rowOff>
    </xdr:from>
    <xdr:to>
      <xdr:col>4</xdr:col>
      <xdr:colOff>100148</xdr:colOff>
      <xdr:row>3</xdr:row>
      <xdr:rowOff>143692</xdr:rowOff>
    </xdr:to>
    <xdr:sp macro="" textlink="">
      <xdr:nvSpPr>
        <xdr:cNvPr id="23" name="TextBox 22">
          <a:extLst>
            <a:ext uri="{FF2B5EF4-FFF2-40B4-BE49-F238E27FC236}">
              <a16:creationId xmlns:a16="http://schemas.microsoft.com/office/drawing/2014/main" id="{5A3142E9-BC68-9FC1-DBEA-B2A7C438673A}"/>
            </a:ext>
          </a:extLst>
        </xdr:cNvPr>
        <xdr:cNvSpPr txBox="1"/>
      </xdr:nvSpPr>
      <xdr:spPr>
        <a:xfrm>
          <a:off x="1719943" y="566058"/>
          <a:ext cx="818605" cy="126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b="0">
              <a:latin typeface="+mj-lt"/>
              <a:cs typeface="Arial" panose="020B0604020202020204" pitchFamily="34" charset="0"/>
            </a:rPr>
            <a:t>Avg Wait Time</a:t>
          </a:r>
        </a:p>
      </xdr:txBody>
    </xdr:sp>
    <xdr:clientData/>
  </xdr:twoCellAnchor>
  <xdr:twoCellAnchor>
    <xdr:from>
      <xdr:col>4</xdr:col>
      <xdr:colOff>117566</xdr:colOff>
      <xdr:row>2</xdr:row>
      <xdr:rowOff>30481</xdr:rowOff>
    </xdr:from>
    <xdr:to>
      <xdr:col>5</xdr:col>
      <xdr:colOff>322217</xdr:colOff>
      <xdr:row>3</xdr:row>
      <xdr:rowOff>13062</xdr:rowOff>
    </xdr:to>
    <xdr:sp macro="" textlink="'pivot Report'!A14">
      <xdr:nvSpPr>
        <xdr:cNvPr id="24" name="TextBox 23">
          <a:extLst>
            <a:ext uri="{FF2B5EF4-FFF2-40B4-BE49-F238E27FC236}">
              <a16:creationId xmlns:a16="http://schemas.microsoft.com/office/drawing/2014/main" id="{6B9B88DB-4247-BA92-4925-6011C7EEBACE}"/>
            </a:ext>
          </a:extLst>
        </xdr:cNvPr>
        <xdr:cNvSpPr txBox="1"/>
      </xdr:nvSpPr>
      <xdr:spPr>
        <a:xfrm>
          <a:off x="2555966" y="396241"/>
          <a:ext cx="814251" cy="1654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02657F01-E897-4D78-8AC5-4F60AB42DBB3}" type="TxLink">
            <a:rPr lang="en-US" sz="1100" b="0" i="0" u="none" strike="noStrike">
              <a:solidFill>
                <a:srgbClr val="000000"/>
              </a:solidFill>
              <a:latin typeface="Calibri"/>
              <a:ea typeface="Calibri"/>
              <a:cs typeface="Calibri"/>
            </a:rPr>
            <a:t>1.37</a:t>
          </a:fld>
          <a:endParaRPr lang="en-IN" sz="800" b="0">
            <a:latin typeface="Arial" panose="020B0604020202020204" pitchFamily="34" charset="0"/>
            <a:cs typeface="Arial" panose="020B0604020202020204" pitchFamily="34" charset="0"/>
          </a:endParaRPr>
        </a:p>
      </xdr:txBody>
    </xdr:sp>
    <xdr:clientData/>
  </xdr:twoCellAnchor>
  <xdr:twoCellAnchor>
    <xdr:from>
      <xdr:col>4</xdr:col>
      <xdr:colOff>117569</xdr:colOff>
      <xdr:row>3</xdr:row>
      <xdr:rowOff>21773</xdr:rowOff>
    </xdr:from>
    <xdr:to>
      <xdr:col>5</xdr:col>
      <xdr:colOff>326574</xdr:colOff>
      <xdr:row>3</xdr:row>
      <xdr:rowOff>148047</xdr:rowOff>
    </xdr:to>
    <xdr:sp macro="" textlink="">
      <xdr:nvSpPr>
        <xdr:cNvPr id="25" name="TextBox 24">
          <a:extLst>
            <a:ext uri="{FF2B5EF4-FFF2-40B4-BE49-F238E27FC236}">
              <a16:creationId xmlns:a16="http://schemas.microsoft.com/office/drawing/2014/main" id="{490278A5-9A9D-430D-BC85-FBEA1ADFCF71}"/>
            </a:ext>
          </a:extLst>
        </xdr:cNvPr>
        <xdr:cNvSpPr txBox="1"/>
      </xdr:nvSpPr>
      <xdr:spPr>
        <a:xfrm>
          <a:off x="2555969" y="570413"/>
          <a:ext cx="818605" cy="126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b="0">
              <a:latin typeface="+mj-lt"/>
              <a:cs typeface="Arial" panose="020B0604020202020204" pitchFamily="34" charset="0"/>
            </a:rPr>
            <a:t>Satisfaction Score</a:t>
          </a:r>
        </a:p>
      </xdr:txBody>
    </xdr:sp>
    <xdr:clientData/>
  </xdr:twoCellAnchor>
  <xdr:twoCellAnchor editAs="oneCell">
    <xdr:from>
      <xdr:col>2</xdr:col>
      <xdr:colOff>287385</xdr:colOff>
      <xdr:row>2</xdr:row>
      <xdr:rowOff>21774</xdr:rowOff>
    </xdr:from>
    <xdr:to>
      <xdr:col>2</xdr:col>
      <xdr:colOff>461555</xdr:colOff>
      <xdr:row>3</xdr:row>
      <xdr:rowOff>13064</xdr:rowOff>
    </xdr:to>
    <xdr:pic>
      <xdr:nvPicPr>
        <xdr:cNvPr id="16" name="Graphic 15" descr="Male profile with solid fill">
          <a:extLst>
            <a:ext uri="{FF2B5EF4-FFF2-40B4-BE49-F238E27FC236}">
              <a16:creationId xmlns:a16="http://schemas.microsoft.com/office/drawing/2014/main" id="{161BBA55-A94A-FB0C-7F80-B9F11A9219EA}"/>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506585" y="387534"/>
          <a:ext cx="174170" cy="174170"/>
        </a:xfrm>
        <a:prstGeom prst="rect">
          <a:avLst/>
        </a:prstGeom>
      </xdr:spPr>
    </xdr:pic>
    <xdr:clientData/>
  </xdr:twoCellAnchor>
  <xdr:twoCellAnchor editAs="oneCell">
    <xdr:from>
      <xdr:col>3</xdr:col>
      <xdr:colOff>522509</xdr:colOff>
      <xdr:row>2</xdr:row>
      <xdr:rowOff>47897</xdr:rowOff>
    </xdr:from>
    <xdr:to>
      <xdr:col>4</xdr:col>
      <xdr:colOff>100148</xdr:colOff>
      <xdr:row>3</xdr:row>
      <xdr:rowOff>52256</xdr:rowOff>
    </xdr:to>
    <xdr:pic>
      <xdr:nvPicPr>
        <xdr:cNvPr id="26" name="Graphic 25" descr="Hourglass Finished with solid fill">
          <a:extLst>
            <a:ext uri="{FF2B5EF4-FFF2-40B4-BE49-F238E27FC236}">
              <a16:creationId xmlns:a16="http://schemas.microsoft.com/office/drawing/2014/main" id="{78A9D570-C810-11E8-8158-F8F1CEFD0E4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351309" y="413657"/>
          <a:ext cx="187239" cy="187239"/>
        </a:xfrm>
        <a:prstGeom prst="rect">
          <a:avLst/>
        </a:prstGeom>
      </xdr:spPr>
    </xdr:pic>
    <xdr:clientData/>
  </xdr:twoCellAnchor>
  <xdr:twoCellAnchor editAs="oneCell">
    <xdr:from>
      <xdr:col>5</xdr:col>
      <xdr:colOff>121920</xdr:colOff>
      <xdr:row>2</xdr:row>
      <xdr:rowOff>34836</xdr:rowOff>
    </xdr:from>
    <xdr:to>
      <xdr:col>5</xdr:col>
      <xdr:colOff>313510</xdr:colOff>
      <xdr:row>3</xdr:row>
      <xdr:rowOff>43546</xdr:rowOff>
    </xdr:to>
    <xdr:pic>
      <xdr:nvPicPr>
        <xdr:cNvPr id="29" name="Graphic 28" descr="Customer review with solid fill">
          <a:extLst>
            <a:ext uri="{FF2B5EF4-FFF2-40B4-BE49-F238E27FC236}">
              <a16:creationId xmlns:a16="http://schemas.microsoft.com/office/drawing/2014/main" id="{9C2FBDC7-4B71-3362-CF6C-C952E1D8DED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169920" y="400596"/>
          <a:ext cx="191590" cy="191590"/>
        </a:xfrm>
        <a:prstGeom prst="rect">
          <a:avLst/>
        </a:prstGeom>
      </xdr:spPr>
    </xdr:pic>
    <xdr:clientData/>
  </xdr:twoCellAnchor>
  <xdr:twoCellAnchor editAs="oneCell">
    <xdr:from>
      <xdr:col>0</xdr:col>
      <xdr:colOff>34834</xdr:colOff>
      <xdr:row>2</xdr:row>
      <xdr:rowOff>65314</xdr:rowOff>
    </xdr:from>
    <xdr:to>
      <xdr:col>1</xdr:col>
      <xdr:colOff>178526</xdr:colOff>
      <xdr:row>17</xdr:row>
      <xdr:rowOff>130629</xdr:rowOff>
    </xdr:to>
    <mc:AlternateContent xmlns:mc="http://schemas.openxmlformats.org/markup-compatibility/2006">
      <mc:Choice xmlns:a14="http://schemas.microsoft.com/office/drawing/2010/main" Requires="a14">
        <xdr:graphicFrame macro="">
          <xdr:nvGraphicFramePr>
            <xdr:cNvPr id="30" name="Date (Month) 1">
              <a:extLst>
                <a:ext uri="{FF2B5EF4-FFF2-40B4-BE49-F238E27FC236}">
                  <a16:creationId xmlns:a16="http://schemas.microsoft.com/office/drawing/2014/main" id="{A0787B7D-74D4-41D6-B50C-5621C982377C}"/>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dr:sp macro="" textlink="">
          <xdr:nvSpPr>
            <xdr:cNvPr id="0" name=""/>
            <xdr:cNvSpPr>
              <a:spLocks noTextEdit="1"/>
            </xdr:cNvSpPr>
          </xdr:nvSpPr>
          <xdr:spPr>
            <a:xfrm>
              <a:off x="34834" y="431074"/>
              <a:ext cx="753292" cy="28085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248194</xdr:colOff>
      <xdr:row>3</xdr:row>
      <xdr:rowOff>74023</xdr:rowOff>
    </xdr:from>
    <xdr:to>
      <xdr:col>2</xdr:col>
      <xdr:colOff>526870</xdr:colOff>
      <xdr:row>5</xdr:row>
      <xdr:rowOff>26127</xdr:rowOff>
    </xdr:to>
    <xdr:graphicFrame macro="">
      <xdr:nvGraphicFramePr>
        <xdr:cNvPr id="31" name="Chart 30">
          <a:hlinkClick xmlns:r="http://schemas.openxmlformats.org/officeDocument/2006/relationships" r:id="rId8"/>
          <a:extLst>
            <a:ext uri="{FF2B5EF4-FFF2-40B4-BE49-F238E27FC236}">
              <a16:creationId xmlns:a16="http://schemas.microsoft.com/office/drawing/2014/main" id="{162A0CB7-850C-4609-A1E7-7C88D561E5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496389</xdr:colOff>
      <xdr:row>3</xdr:row>
      <xdr:rowOff>130629</xdr:rowOff>
    </xdr:from>
    <xdr:to>
      <xdr:col>4</xdr:col>
      <xdr:colOff>126274</xdr:colOff>
      <xdr:row>4</xdr:row>
      <xdr:rowOff>169818</xdr:rowOff>
    </xdr:to>
    <xdr:graphicFrame macro="">
      <xdr:nvGraphicFramePr>
        <xdr:cNvPr id="32" name="Chart 31">
          <a:hlinkClick xmlns:r="http://schemas.openxmlformats.org/officeDocument/2006/relationships" r:id="rId10"/>
          <a:extLst>
            <a:ext uri="{FF2B5EF4-FFF2-40B4-BE49-F238E27FC236}">
              <a16:creationId xmlns:a16="http://schemas.microsoft.com/office/drawing/2014/main" id="{ED339204-3DEC-4956-8B19-8846B2B30C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78381</xdr:colOff>
      <xdr:row>3</xdr:row>
      <xdr:rowOff>47898</xdr:rowOff>
    </xdr:from>
    <xdr:to>
      <xdr:col>5</xdr:col>
      <xdr:colOff>357052</xdr:colOff>
      <xdr:row>5</xdr:row>
      <xdr:rowOff>43543</xdr:rowOff>
    </xdr:to>
    <xdr:graphicFrame macro="">
      <xdr:nvGraphicFramePr>
        <xdr:cNvPr id="33" name="Chart 32">
          <a:hlinkClick xmlns:r="http://schemas.openxmlformats.org/officeDocument/2006/relationships" r:id="rId12"/>
          <a:extLst>
            <a:ext uri="{FF2B5EF4-FFF2-40B4-BE49-F238E27FC236}">
              <a16:creationId xmlns:a16="http://schemas.microsoft.com/office/drawing/2014/main" id="{C3D3B3C5-CE05-4940-9518-0BC55E3289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256903</xdr:colOff>
          <xdr:row>5</xdr:row>
          <xdr:rowOff>1</xdr:rowOff>
        </xdr:from>
        <xdr:to>
          <xdr:col>5</xdr:col>
          <xdr:colOff>326570</xdr:colOff>
          <xdr:row>9</xdr:row>
          <xdr:rowOff>14359</xdr:rowOff>
        </xdr:to>
        <xdr:pic>
          <xdr:nvPicPr>
            <xdr:cNvPr id="35" name="Picture 34">
              <a:extLst>
                <a:ext uri="{FF2B5EF4-FFF2-40B4-BE49-F238E27FC236}">
                  <a16:creationId xmlns:a16="http://schemas.microsoft.com/office/drawing/2014/main" id="{EAD1E2C4-4DC8-5C1C-49C7-B3F154BF592B}"/>
                </a:ext>
              </a:extLst>
            </xdr:cNvPr>
            <xdr:cNvPicPr>
              <a:picLocks noChangeAspect="1" noChangeArrowheads="1"/>
              <a:extLst>
                <a:ext uri="{84589F7E-364E-4C9E-8A38-B11213B215E9}">
                  <a14:cameraTool cellRange="'pivot Report'!$A$49:$E$51" spid="_x0000_s1033"/>
                </a:ext>
              </a:extLst>
            </xdr:cNvPicPr>
          </xdr:nvPicPr>
          <xdr:blipFill>
            <a:blip xmlns:r="http://schemas.openxmlformats.org/officeDocument/2006/relationships" r:embed="rId14"/>
            <a:srcRect/>
            <a:stretch>
              <a:fillRect/>
            </a:stretch>
          </xdr:blipFill>
          <xdr:spPr bwMode="auto">
            <a:xfrm>
              <a:off x="866503" y="914401"/>
              <a:ext cx="2508067" cy="745878"/>
            </a:xfrm>
            <a:prstGeom prst="roundRect">
              <a:avLst>
                <a:gd name="adj" fmla="val 4992"/>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xdr:col>
      <xdr:colOff>256904</xdr:colOff>
      <xdr:row>9</xdr:row>
      <xdr:rowOff>56607</xdr:rowOff>
    </xdr:from>
    <xdr:to>
      <xdr:col>5</xdr:col>
      <xdr:colOff>291738</xdr:colOff>
      <xdr:row>16</xdr:row>
      <xdr:rowOff>113211</xdr:rowOff>
    </xdr:to>
    <xdr:graphicFrame macro="">
      <xdr:nvGraphicFramePr>
        <xdr:cNvPr id="36" name="Chart 35">
          <a:extLst>
            <a:ext uri="{FF2B5EF4-FFF2-40B4-BE49-F238E27FC236}">
              <a16:creationId xmlns:a16="http://schemas.microsoft.com/office/drawing/2014/main" id="{3AA38A60-33A4-4ED5-9F15-BE86E46836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xdr:col>
      <xdr:colOff>370114</xdr:colOff>
      <xdr:row>0</xdr:row>
      <xdr:rowOff>1</xdr:rowOff>
    </xdr:from>
    <xdr:to>
      <xdr:col>7</xdr:col>
      <xdr:colOff>313509</xdr:colOff>
      <xdr:row>5</xdr:row>
      <xdr:rowOff>113211</xdr:rowOff>
    </xdr:to>
    <xdr:graphicFrame macro="">
      <xdr:nvGraphicFramePr>
        <xdr:cNvPr id="37" name="Chart 36">
          <a:extLst>
            <a:ext uri="{FF2B5EF4-FFF2-40B4-BE49-F238E27FC236}">
              <a16:creationId xmlns:a16="http://schemas.microsoft.com/office/drawing/2014/main" id="{485284E8-D70E-4CF2-9F63-93E67F367B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361406</xdr:colOff>
      <xdr:row>0</xdr:row>
      <xdr:rowOff>34835</xdr:rowOff>
    </xdr:from>
    <xdr:to>
      <xdr:col>9</xdr:col>
      <xdr:colOff>283030</xdr:colOff>
      <xdr:row>5</xdr:row>
      <xdr:rowOff>56607</xdr:rowOff>
    </xdr:to>
    <xdr:graphicFrame macro="">
      <xdr:nvGraphicFramePr>
        <xdr:cNvPr id="39" name="Chart 38">
          <a:extLst>
            <a:ext uri="{FF2B5EF4-FFF2-40B4-BE49-F238E27FC236}">
              <a16:creationId xmlns:a16="http://schemas.microsoft.com/office/drawing/2014/main" id="{02F9C386-BB0A-4811-89F6-EC0A746A5A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5</xdr:col>
      <xdr:colOff>383176</xdr:colOff>
      <xdr:row>6</xdr:row>
      <xdr:rowOff>121921</xdr:rowOff>
    </xdr:from>
    <xdr:to>
      <xdr:col>9</xdr:col>
      <xdr:colOff>361405</xdr:colOff>
      <xdr:row>16</xdr:row>
      <xdr:rowOff>87086</xdr:rowOff>
    </xdr:to>
    <xdr:graphicFrame macro="">
      <xdr:nvGraphicFramePr>
        <xdr:cNvPr id="40" name="Chart 39">
          <a:extLst>
            <a:ext uri="{FF2B5EF4-FFF2-40B4-BE49-F238E27FC236}">
              <a16:creationId xmlns:a16="http://schemas.microsoft.com/office/drawing/2014/main" id="{03AFFD94-B0D7-408C-A923-F4CBFFB6F6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4</xdr:col>
      <xdr:colOff>78377</xdr:colOff>
      <xdr:row>0</xdr:row>
      <xdr:rowOff>43543</xdr:rowOff>
    </xdr:from>
    <xdr:to>
      <xdr:col>5</xdr:col>
      <xdr:colOff>339634</xdr:colOff>
      <xdr:row>1</xdr:row>
      <xdr:rowOff>148047</xdr:rowOff>
    </xdr:to>
    <mc:AlternateContent xmlns:mc="http://schemas.openxmlformats.org/markup-compatibility/2006">
      <mc:Choice xmlns:a14="http://schemas.microsoft.com/office/drawing/2010/main" Requires="a14">
        <xdr:graphicFrame macro="">
          <xdr:nvGraphicFramePr>
            <xdr:cNvPr id="41" name="Date (Year)">
              <a:extLst>
                <a:ext uri="{FF2B5EF4-FFF2-40B4-BE49-F238E27FC236}">
                  <a16:creationId xmlns:a16="http://schemas.microsoft.com/office/drawing/2014/main" id="{CDBF1806-B243-4701-8C50-BA7FE127FF57}"/>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2516777" y="43543"/>
              <a:ext cx="870857" cy="2873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496389</xdr:colOff>
      <xdr:row>16</xdr:row>
      <xdr:rowOff>65314</xdr:rowOff>
    </xdr:from>
    <xdr:ext cx="2076994" cy="235132"/>
    <xdr:sp macro="" textlink="">
      <xdr:nvSpPr>
        <xdr:cNvPr id="42" name="TextBox 41">
          <a:extLst>
            <a:ext uri="{FF2B5EF4-FFF2-40B4-BE49-F238E27FC236}">
              <a16:creationId xmlns:a16="http://schemas.microsoft.com/office/drawing/2014/main" id="{39A3323B-0C16-0508-37CF-2F6442A1ED0B}"/>
            </a:ext>
          </a:extLst>
        </xdr:cNvPr>
        <xdr:cNvSpPr txBox="1"/>
      </xdr:nvSpPr>
      <xdr:spPr>
        <a:xfrm>
          <a:off x="1105989" y="2991394"/>
          <a:ext cx="2076994" cy="2351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050" b="1"/>
            <a:t>No. of patient by age group</a:t>
          </a:r>
        </a:p>
      </xdr:txBody>
    </xdr:sp>
    <xdr:clientData/>
  </xdr:oneCellAnchor>
  <xdr:oneCellAnchor>
    <xdr:from>
      <xdr:col>5</xdr:col>
      <xdr:colOff>404949</xdr:colOff>
      <xdr:row>16</xdr:row>
      <xdr:rowOff>4353</xdr:rowOff>
    </xdr:from>
    <xdr:ext cx="2360022" cy="239487"/>
    <xdr:sp macro="" textlink="">
      <xdr:nvSpPr>
        <xdr:cNvPr id="43" name="TextBox 42">
          <a:extLst>
            <a:ext uri="{FF2B5EF4-FFF2-40B4-BE49-F238E27FC236}">
              <a16:creationId xmlns:a16="http://schemas.microsoft.com/office/drawing/2014/main" id="{1700A125-6081-4A0A-93F2-61E92146E2C6}"/>
            </a:ext>
          </a:extLst>
        </xdr:cNvPr>
        <xdr:cNvSpPr txBox="1"/>
      </xdr:nvSpPr>
      <xdr:spPr>
        <a:xfrm>
          <a:off x="3452949" y="2930433"/>
          <a:ext cx="2360022" cy="2394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050" b="1"/>
            <a:t>No. of patient by Department</a:t>
          </a:r>
          <a:r>
            <a:rPr lang="en-IN" sz="1050" b="1" baseline="0"/>
            <a:t> Referal</a:t>
          </a:r>
          <a:endParaRPr lang="en-IN" sz="1050" b="1"/>
        </a:p>
      </xdr:txBody>
    </xdr:sp>
    <xdr:clientData/>
  </xdr:oneCellAnchor>
  <xdr:oneCellAnchor>
    <xdr:from>
      <xdr:col>5</xdr:col>
      <xdr:colOff>400595</xdr:colOff>
      <xdr:row>5</xdr:row>
      <xdr:rowOff>13061</xdr:rowOff>
    </xdr:from>
    <xdr:ext cx="1145176" cy="200299"/>
    <xdr:sp macro="" textlink="">
      <xdr:nvSpPr>
        <xdr:cNvPr id="44" name="TextBox 43">
          <a:extLst>
            <a:ext uri="{FF2B5EF4-FFF2-40B4-BE49-F238E27FC236}">
              <a16:creationId xmlns:a16="http://schemas.microsoft.com/office/drawing/2014/main" id="{06B91EDB-1C25-477B-B75F-9F4DD2B03CFD}"/>
            </a:ext>
          </a:extLst>
        </xdr:cNvPr>
        <xdr:cNvSpPr txBox="1"/>
      </xdr:nvSpPr>
      <xdr:spPr>
        <a:xfrm>
          <a:off x="3448595" y="927461"/>
          <a:ext cx="1145176" cy="2002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700" b="1"/>
            <a:t>Patient Attend Status</a:t>
          </a:r>
        </a:p>
      </xdr:txBody>
    </xdr:sp>
    <xdr:clientData/>
  </xdr:oneCellAnchor>
  <xdr:oneCellAnchor>
    <xdr:from>
      <xdr:col>7</xdr:col>
      <xdr:colOff>370114</xdr:colOff>
      <xdr:row>5</xdr:row>
      <xdr:rowOff>13061</xdr:rowOff>
    </xdr:from>
    <xdr:ext cx="1201783" cy="195945"/>
    <xdr:sp macro="" textlink="">
      <xdr:nvSpPr>
        <xdr:cNvPr id="45" name="TextBox 44">
          <a:extLst>
            <a:ext uri="{FF2B5EF4-FFF2-40B4-BE49-F238E27FC236}">
              <a16:creationId xmlns:a16="http://schemas.microsoft.com/office/drawing/2014/main" id="{BE8FFA2E-4F7F-461E-AF65-00265271676D}"/>
            </a:ext>
          </a:extLst>
        </xdr:cNvPr>
        <xdr:cNvSpPr txBox="1"/>
      </xdr:nvSpPr>
      <xdr:spPr>
        <a:xfrm>
          <a:off x="4637314" y="927461"/>
          <a:ext cx="1201783" cy="1959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800" b="1"/>
            <a:t>Gender wise Analysis</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228600</xdr:colOff>
      <xdr:row>1</xdr:row>
      <xdr:rowOff>30480</xdr:rowOff>
    </xdr:from>
    <xdr:to>
      <xdr:col>11</xdr:col>
      <xdr:colOff>510540</xdr:colOff>
      <xdr:row>15</xdr:row>
      <xdr:rowOff>68580</xdr:rowOff>
    </xdr:to>
    <xdr:graphicFrame macro="">
      <xdr:nvGraphicFramePr>
        <xdr:cNvPr id="2" name="Chart 1">
          <a:extLst>
            <a:ext uri="{FF2B5EF4-FFF2-40B4-BE49-F238E27FC236}">
              <a16:creationId xmlns:a16="http://schemas.microsoft.com/office/drawing/2014/main" id="{FDE2AF2E-213F-4403-A611-4B8C4279E3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0.012</cdr:x>
      <cdr:y>0.01173</cdr:y>
    </cdr:from>
    <cdr:to>
      <cdr:x>0.11123</cdr:x>
      <cdr:y>0.27859</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CBCE57B3-5511-A704-62CA-01D9696244A6}"/>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83820" y="30480"/>
          <a:ext cx="693420" cy="69342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533400</xdr:colOff>
      <xdr:row>3</xdr:row>
      <xdr:rowOff>0</xdr:rowOff>
    </xdr:from>
    <xdr:to>
      <xdr:col>15</xdr:col>
      <xdr:colOff>396240</xdr:colOff>
      <xdr:row>18</xdr:row>
      <xdr:rowOff>76200</xdr:rowOff>
    </xdr:to>
    <xdr:graphicFrame macro="">
      <xdr:nvGraphicFramePr>
        <xdr:cNvPr id="2" name="Chart 1">
          <a:extLst>
            <a:ext uri="{FF2B5EF4-FFF2-40B4-BE49-F238E27FC236}">
              <a16:creationId xmlns:a16="http://schemas.microsoft.com/office/drawing/2014/main" id="{BCC1AC76-D291-49E9-BBCE-1C750B934D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0.00564</cdr:x>
      <cdr:y>0.01802</cdr:y>
    </cdr:from>
    <cdr:to>
      <cdr:x>0.08206</cdr:x>
      <cdr:y>0.26216</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A3F36716-5A53-24BB-F7A3-BBD8FE12672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688340" cy="68834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1</xdr:col>
      <xdr:colOff>114300</xdr:colOff>
      <xdr:row>2</xdr:row>
      <xdr:rowOff>152400</xdr:rowOff>
    </xdr:from>
    <xdr:to>
      <xdr:col>15</xdr:col>
      <xdr:colOff>411480</xdr:colOff>
      <xdr:row>19</xdr:row>
      <xdr:rowOff>160020</xdr:rowOff>
    </xdr:to>
    <xdr:graphicFrame macro="">
      <xdr:nvGraphicFramePr>
        <xdr:cNvPr id="3" name="Chart 2">
          <a:extLst>
            <a:ext uri="{FF2B5EF4-FFF2-40B4-BE49-F238E27FC236}">
              <a16:creationId xmlns:a16="http://schemas.microsoft.com/office/drawing/2014/main" id="{8D5FF4B2-4BE0-4C31-A5EA-78060C697A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0.01179</cdr:x>
      <cdr:y>0.02608</cdr:y>
    </cdr:from>
    <cdr:to>
      <cdr:x>0.08973</cdr:x>
      <cdr:y>0.24694</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BD4B9E5F-69FB-C05A-7D95-69693F26F2E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04140" y="81280"/>
          <a:ext cx="688340" cy="68834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5.611897916664" createdVersion="5" refreshedVersion="8" minRefreshableVersion="3" recordCount="0" supportSubquery="1" supportAdvancedDrill="1" xr:uid="{04633D93-FC06-4B67-8604-6CC27C28B481}">
  <cacheSource type="external" connectionId="4"/>
  <cacheFields count="2">
    <cacheField name="[Calender_Table].[Date (Month)].[Date (Month)]" caption="Date (Month)" numFmtId="0" hierarchy="1" level="1">
      <sharedItems count="1">
        <s v="Jun"/>
      </sharedItems>
    </cacheField>
    <cacheField name="[Calender_Table].[Date (Year)].[Date (Year)]" caption="Date (Year)" numFmtId="0" hierarchy="3" level="1">
      <sharedItems count="1">
        <s v="2024"/>
      </sharedItems>
    </cacheField>
  </cacheFields>
  <cacheHierarchies count="35">
    <cacheHierarchy uniqueName="[Calender_Table].[Date]" caption="Date" attribute="1" time="1" defaultMemberUniqueName="[Calender_Table].[Date].[All]" allUniqueName="[Calender_Table].[Date].[All]" dimensionUniqueName="[Calender_Table]" displayFolder="" count="2"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2"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2"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2"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2"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2"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2"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2"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2"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2" memberValueDatatype="11"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2" memberValueDatatype="5"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2"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2"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1" uniqueName="[Hospital Emergency Room Data  1]" caption="Hospital Emergency Room Data  1"/>
    <dimension measure="1" name="Measures" uniqueName="[Measures]" caption="Measures"/>
  </dimensions>
  <measureGroups count="2">
    <measureGroup name="Calender_Table" caption="Calende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5.61189803241" createdVersion="5" refreshedVersion="8" minRefreshableVersion="3" recordCount="0" supportSubquery="1" supportAdvancedDrill="1" xr:uid="{5907E79B-5824-422D-8BF0-3BAFE53E6104}">
  <cacheSource type="external" connectionId="4"/>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1"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5"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1" uniqueName="[Hospital Emergency Room Data  1]" caption="Hospital Emergency Room Data  1"/>
    <dimension measure="1" name="Measures" uniqueName="[Measures]" caption="Measures"/>
  </dimensions>
  <measureGroups count="2">
    <measureGroup name="Calender_Table" caption="Calende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5.611898379633" createdVersion="5" refreshedVersion="8" minRefreshableVersion="3" recordCount="0" supportSubquery="1" supportAdvancedDrill="1" xr:uid="{796E8BAD-FE93-4F25-A3A0-DBB0603A5F3F}">
  <cacheSource type="external" connectionId="4"/>
  <cacheFields count="4">
    <cacheField name="[Calender_Table].[Date (Month)].[Date (Month)]" caption="Date (Month)" numFmtId="0" hierarchy="1" level="1">
      <sharedItems containsSemiMixedTypes="0" containsNonDate="0" containsString="0"/>
    </cacheField>
    <cacheField name="[Hospital Emergency Room Data  1].[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2" memberValueDatatype="130" unbalanced="0">
      <fieldsUsage count="2">
        <fieldUsage x="-1"/>
        <fieldUsage x="1"/>
      </fieldsUsage>
    </cacheHierarchy>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1"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5"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1" uniqueName="[Hospital Emergency Room Data  1]" caption="Hospital Emergency Room Data  1"/>
    <dimension measure="1" name="Measures" uniqueName="[Measures]" caption="Measures"/>
  </dimensions>
  <measureGroups count="2">
    <measureGroup name="Calender_Table" caption="Calende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5.611898611111" createdVersion="5" refreshedVersion="8" minRefreshableVersion="3" recordCount="0" supportSubquery="1" supportAdvancedDrill="1" xr:uid="{80DE330D-37D7-4472-A8E9-B5379A034E07}">
  <cacheSource type="external" connectionId="4"/>
  <cacheFields count="3">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1"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5"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1" uniqueName="[Hospital Emergency Room Data  1]" caption="Hospital Emergency Room Data  1"/>
    <dimension measure="1" name="Measures" uniqueName="[Measures]" caption="Measures"/>
  </dimensions>
  <measureGroups count="2">
    <measureGroup name="Calender_Table" caption="Calende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5.611898726849" createdVersion="5" refreshedVersion="8" minRefreshableVersion="3" recordCount="0" supportSubquery="1" supportAdvancedDrill="1" xr:uid="{69D55CBB-E896-432C-BADC-BC79BE66E43B}">
  <cacheSource type="external" connectionId="4"/>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1"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5"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1" uniqueName="[Hospital Emergency Room Data  1]" caption="Hospital Emergency Room Data  1"/>
    <dimension measure="1" name="Measures" uniqueName="[Measures]" caption="Measures"/>
  </dimensions>
  <measureGroups count="2">
    <measureGroup name="Calender_Table" caption="Calende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5.611899189818" createdVersion="5" refreshedVersion="8" minRefreshableVersion="3" recordCount="0" supportSubquery="1" supportAdvancedDrill="1" xr:uid="{CE9E5FBB-0CA6-4945-98DC-1AEB9C9C9CEA}">
  <cacheSource type="external" connectionId="4"/>
  <cacheFields count="5">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30" level="32767"/>
    <cacheField name="[Hospital Emergency Room Data  1].[Patient Admission Flag].[Patient Admission Flag]" caption="Patient Admission Flag" numFmtId="0" hierarchy="13" level="1">
      <sharedItems count="2">
        <b v="0"/>
        <b v="1"/>
      </sharedItems>
    </cacheField>
    <cacheField name="[Calender_Table].[Date (Year)].[Date (Year)]" caption="Date (Year)" numFmtId="0" hierarchy="3"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2" memberValueDatatype="11" unbalanced="0">
      <fieldsUsage count="2">
        <fieldUsage x="-1"/>
        <fieldUsage x="2"/>
      </fieldsUsage>
    </cacheHierarchy>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5"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1"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1" uniqueName="[Hospital Emergency Room Data  1]" caption="Hospital Emergency Room Data  1"/>
    <dimension measure="1" name="Measures" uniqueName="[Measures]" caption="Measures"/>
  </dimensions>
  <measureGroups count="2">
    <measureGroup name="Calender_Table" caption="Calende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5.61189965278" createdVersion="5" refreshedVersion="8" minRefreshableVersion="3" recordCount="0" supportSubquery="1" supportAdvancedDrill="1" xr:uid="{C0FEB127-DDE9-41DC-B39B-3F87C8B6F0C2}">
  <cacheSource type="external" connectionId="4"/>
  <cacheFields count="4">
    <cacheField name="[Measures].[Distinct Count of Patient Id]" caption="Distinct Count of Patient Id" numFmtId="0" hierarchy="24" level="32767"/>
    <cacheField name="[Calende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1"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5"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1" uniqueName="[Hospital Emergency Room Data  1]" caption="Hospital Emergency Room Data  1"/>
    <dimension measure="1" name="Measures" uniqueName="[Measures]" caption="Measures"/>
  </dimensions>
  <measureGroups count="2">
    <measureGroup name="Calender_Table" caption="Calende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5.611900115742" createdVersion="5" refreshedVersion="8" minRefreshableVersion="3" recordCount="0" supportSubquery="1" supportAdvancedDrill="1" xr:uid="{137115F7-1953-4C55-9E27-A34B5F3623BF}">
  <cacheSource type="external" connectionId="4"/>
  <cacheFields count="4">
    <cacheField name="[Calende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1"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5"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1" uniqueName="[Hospital Emergency Room Data  1]" caption="Hospital Emergency Room Data  1"/>
    <dimension measure="1" name="Measures" uniqueName="[Measures]" caption="Measures"/>
  </dimensions>
  <measureGroups count="2">
    <measureGroup name="Calender_Table" caption="Calende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5.611900694443" createdVersion="5" refreshedVersion="8" minRefreshableVersion="3" recordCount="0" supportSubquery="1" supportAdvancedDrill="1" xr:uid="{1D3558FC-5C1A-4DA5-BFD9-240F4A09D2AE}">
  <cacheSource type="external" connectionId="4"/>
  <cacheFields count="4">
    <cacheField name="[Calende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1"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5"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1" uniqueName="[Hospital Emergency Room Data  1]" caption="Hospital Emergency Room Data  1"/>
    <dimension measure="1" name="Measures" uniqueName="[Measures]" caption="Measures"/>
  </dimensions>
  <measureGroups count="2">
    <measureGroup name="Calender_Table" caption="Calende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5.611901157405" createdVersion="5" refreshedVersion="8" minRefreshableVersion="3" recordCount="0" supportSubquery="1" supportAdvancedDrill="1" xr:uid="{B9A14AB4-4930-4AE7-93F8-57F2C8B5BF0E}">
  <cacheSource type="external" connectionId="4"/>
  <cacheFields count="4">
    <cacheField name="[Calender_Table].[Date (Month)].[Date (Month)]" caption="Date (Month)" numFmtId="0" hierarchy="1" level="1">
      <sharedItems containsSemiMixedTypes="0" containsNonDate="0" containsString="0"/>
    </cacheField>
    <cacheField name="[Measures].[Count of Age Group]" caption="Count of Age Group" numFmtId="0" hierarchy="31" level="32767"/>
    <cacheField name="[Hospital Emergency Room Data  1].[Age Group].[Age Group]" caption="Age Group" numFmtId="0" hierarchy="16" level="1">
      <sharedItems count="8">
        <s v="0-09"/>
        <s v="10-19"/>
        <s v="20-29"/>
        <s v="30-39"/>
        <s v="40-49"/>
        <s v="50-59"/>
        <s v="60-69"/>
        <s v="70-69"/>
      </sharedItems>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1"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5"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2" memberValueDatatype="130" unbalanced="0">
      <fieldsUsage count="2">
        <fieldUsage x="-1"/>
        <fieldUsage x="2"/>
      </fieldsUsage>
    </cacheHierarchy>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1" uniqueName="[Hospital Emergency Room Data  1]" caption="Hospital Emergency Room Data  1"/>
    <dimension measure="1" name="Measures" uniqueName="[Measures]" caption="Measures"/>
  </dimensions>
  <measureGroups count="2">
    <measureGroup name="Calender_Table" caption="Calende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5.611901620374" createdVersion="5" refreshedVersion="8" minRefreshableVersion="3" recordCount="0" supportSubquery="1" supportAdvancedDrill="1" xr:uid="{FF0FB22A-DF59-4E3F-9566-A9135152A889}">
  <cacheSource type="external" connectionId="4"/>
  <cacheFields count="4">
    <cacheField name="[Calender_Table].[Date (Month)].[Date (Month)]" caption="Date (Month)" numFmtId="0" hierarchy="1" level="1">
      <sharedItems containsSemiMixedTypes="0" containsNonDate="0" containsString="0"/>
    </cacheField>
    <cacheField name="[Measures].[Count of Patient Id]" caption="Count of Patient Id" numFmtId="0" hierarchy="23" level="32767"/>
    <cacheField name="[Hospital Emergency Room Data  1].[Patient Attend Status].[Patient Attend Status]" caption="Patient Attend Status" numFmtId="0" hierarchy="17" level="1">
      <sharedItems count="2">
        <s v="Delay"/>
        <s v="Ontime"/>
      </sharedItems>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1"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5"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2" memberValueDatatype="130" unbalanced="0">
      <fieldsUsage count="2">
        <fieldUsage x="-1"/>
        <fieldUsage x="2"/>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1" uniqueName="[Hospital Emergency Room Data  1]" caption="Hospital Emergency Room Data  1"/>
    <dimension measure="1" name="Measures" uniqueName="[Measures]" caption="Measures"/>
  </dimensions>
  <measureGroups count="2">
    <measureGroup name="Calender_Table" caption="Calende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5.61190196759" createdVersion="5" refreshedVersion="8" minRefreshableVersion="3" recordCount="0" supportSubquery="1" supportAdvancedDrill="1" xr:uid="{C257FB02-A8AF-4F2F-9D69-1ED0DE92CDFD}">
  <cacheSource type="external" connectionId="4"/>
  <cacheFields count="4">
    <cacheField name="[Calender_Table].[Date (Month)].[Date (Month)]" caption="Date (Month)" numFmtId="0" hierarchy="1" level="1">
      <sharedItems containsSemiMixedTypes="0" containsNonDate="0" containsString="0"/>
    </cacheField>
    <cacheField name="[Measures].[Count of Patient Gender]" caption="Count of Patient Gender" numFmtId="0" hierarchy="32" level="32767"/>
    <cacheField name="[Hospital Emergency Room Data  1].[Patient Gender].[Patient Gender]" caption="Patient Gender" numFmtId="0" hierarchy="9" level="1">
      <sharedItems count="2">
        <s v="Female"/>
        <s v="Male"/>
      </sharedItems>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2" memberValueDatatype="130" unbalanced="0">
      <fieldsUsage count="2">
        <fieldUsage x="-1"/>
        <fieldUsage x="2"/>
      </fieldsUsage>
    </cacheHierarchy>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1"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5"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1" uniqueName="[Hospital Emergency Room Data  1]" caption="Hospital Emergency Room Data  1"/>
    <dimension measure="1" name="Measures" uniqueName="[Measures]" caption="Measures"/>
  </dimensions>
  <measureGroups count="2">
    <measureGroup name="Calender_Table" caption="Calende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5.600940277778" createdVersion="3" refreshedVersion="8" minRefreshableVersion="3" recordCount="0" supportSubquery="1" supportAdvancedDrill="1" xr:uid="{5AD6C714-A719-416C-93C4-88F2423F272A}">
  <cacheSource type="external" connectionId="4">
    <extLst>
      <ext xmlns:x14="http://schemas.microsoft.com/office/spreadsheetml/2009/9/main" uri="{F057638F-6D5F-4e77-A914-E7F072B9BCA8}">
        <x14:sourceConnection name="ThisWorkbookDataModel"/>
      </ext>
    </extLst>
  </cacheSource>
  <cacheFields count="0"/>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1"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5"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82877644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C127BF-AAAA-47B6-8C9B-581F2FD842CB}" name="PivotTable12" cacheId="1462" applyNumberFormats="0" applyBorderFormats="0" applyFontFormats="0" applyPatternFormats="0" applyAlignmentFormats="0" applyWidthHeightFormats="1" dataCaption="Values" tag="83ad7c45-9b77-41dc-aa8e-75506d215fcd" updatedVersion="8" minRefreshableVersion="3" subtotalHiddenItems="1" itemPrintTitles="1" createdVersion="5" indent="0" outline="1" outlineData="1" multipleFieldFilters="0" chartFormat="33">
  <location ref="A98:A100" firstHeaderRow="1" firstDataRow="1" firstDataCol="1"/>
  <pivotFields count="2">
    <pivotField allDrilled="1" subtotalTop="0" showAll="0" dataSourceSort="1" defaultSubtotal="0" defaultAttributeDrillState="1">
      <items count="1">
        <item s="1" x="0"/>
      </items>
    </pivotField>
    <pivotField axis="axisRow" allDrilled="1" subtotalTop="0" showAll="0" dataSourceSort="1" defaultSubtotal="0" defaultAttributeDrillState="1">
      <items count="1">
        <item s="1" x="0"/>
      </items>
    </pivotField>
  </pivotFields>
  <rowFields count="1">
    <field x="1"/>
  </rowFields>
  <rowItems count="2">
    <i>
      <x/>
    </i>
    <i t="grand">
      <x/>
    </i>
  </rowItems>
  <formats count="1">
    <format dxfId="94">
      <pivotArea outline="0" collapsedLevelsAreSubtotals="1" fieldPosition="0"/>
    </format>
  </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6517A9-20ED-4013-B07E-6B1FFF149BD7}" name="PivotTable11" cacheId="1471" applyNumberFormats="0" applyBorderFormats="0" applyFontFormats="0" applyPatternFormats="0" applyAlignmentFormats="0" applyWidthHeightFormats="1" dataCaption="Values" tag="d1a3389b-d435-4454-9560-f2c7c566aa19" updatedVersion="8" minRefreshableVersion="3" subtotalHiddenItems="1" itemPrintTitles="1" createdVersion="5" indent="0" outline="1" outlineData="1" multipleFieldFilters="0">
  <location ref="A13:A14" firstHeaderRow="1" firstDataRow="1" firstDataCol="0"/>
  <pivotFields count="3">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1" subtotal="average" baseField="0" baseItem="0"/>
  </dataFields>
  <formats count="1">
    <format dxfId="107">
      <pivotArea outline="0" collapsedLevelsAreSubtotals="1" fieldPosition="0"/>
    </format>
  </formats>
  <pivotHierarchies count="35">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satisfaction scor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79A679-AD53-41DB-9D08-287F72C9E156}" name="PivotTable10" cacheId="1468" applyNumberFormats="0" applyBorderFormats="0" applyFontFormats="0" applyPatternFormats="0" applyAlignmentFormats="0" applyWidthHeightFormats="1" dataCaption="Values" tag="83ad7c45-9b77-41dc-aa8e-75506d215fcd" updatedVersion="8" minRefreshableVersion="3" subtotalHiddenItems="1" itemPrintTitles="1" createdVersion="5" indent="0" outline="1" outlineData="1" multipleFieldFilters="0" chartFormat="33">
  <location ref="A85:B94"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6"/>
    </i>
    <i>
      <x v="3"/>
    </i>
    <i>
      <x v="1"/>
    </i>
    <i>
      <x/>
    </i>
    <i>
      <x v="5"/>
    </i>
    <i>
      <x v="2"/>
    </i>
    <i>
      <x v="4"/>
    </i>
    <i t="grand">
      <x/>
    </i>
  </rowItems>
  <colItems count="1">
    <i/>
  </colItems>
  <dataFields count="1">
    <dataField name="Count of Department Referral" fld="2" subtotal="count" baseField="0" baseItem="0"/>
  </dataFields>
  <formats count="2">
    <format dxfId="105">
      <pivotArea outline="0" collapsedLevelsAreSubtotals="1" fieldPosition="0"/>
    </format>
    <format dxfId="106">
      <pivotArea collapsedLevelsAreSubtotals="1" fieldPosition="0">
        <references count="1">
          <reference field="1" count="0"/>
        </references>
      </pivotArea>
    </format>
  </formats>
  <chartFormats count="3">
    <chartFormat chart="29" format="1"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7A8EBA-02A2-4C1E-9653-26BA383F2D1B}" name="PivotTable9" cacheId="1495" applyNumberFormats="0" applyBorderFormats="0" applyFontFormats="0" applyPatternFormats="0" applyAlignmentFormats="0" applyWidthHeightFormats="1" dataCaption="Values" tag="83ad7c45-9b77-41dc-aa8e-75506d215fcd" updatedVersion="8" minRefreshableVersion="3" subtotalHiddenItems="1" itemPrintTitles="1" createdVersion="5" indent="0" outline="1" outlineData="1" multipleFieldFilters="0" chartFormat="28">
  <location ref="A78:B81"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Gender" fld="1" subtotal="count" baseField="0" baseItem="0"/>
  </dataFields>
  <formats count="1">
    <format dxfId="104">
      <pivotArea outline="0" collapsedLevelsAreSubtotals="1" fieldPosition="0"/>
    </format>
  </formats>
  <chartFormats count="3">
    <chartFormat chart="26" format="4" series="1">
      <pivotArea type="data" outline="0" fieldPosition="0">
        <references count="1">
          <reference field="4294967294" count="1" selected="0">
            <x v="0"/>
          </reference>
        </references>
      </pivotArea>
    </chartFormat>
    <chartFormat chart="26" format="5">
      <pivotArea type="data" outline="0" fieldPosition="0">
        <references count="2">
          <reference field="4294967294" count="1" selected="0">
            <x v="0"/>
          </reference>
          <reference field="2" count="1" selected="0">
            <x v="0"/>
          </reference>
        </references>
      </pivotArea>
    </chartFormat>
    <chartFormat chart="26" format="6">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B52A3E-735A-48D4-8B77-80F55BDF0C84}" name="PivotTable8" cacheId="1492" applyNumberFormats="0" applyBorderFormats="0" applyFontFormats="0" applyPatternFormats="0" applyAlignmentFormats="0" applyWidthHeightFormats="1" dataCaption="Values" tag="83ad7c45-9b77-41dc-aa8e-75506d215fcd" updatedVersion="8" minRefreshableVersion="3" subtotalHiddenItems="1" itemPrintTitles="1" createdVersion="5" indent="0" outline="1" outlineData="1" multipleFieldFilters="0" chartFormat="21">
  <location ref="A71:B74"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1" subtotal="count" baseField="0" baseItem="0"/>
  </dataFields>
  <formats count="2">
    <format dxfId="102">
      <pivotArea outline="0" collapsedLevelsAreSubtotals="1" fieldPosition="0"/>
    </format>
    <format dxfId="103">
      <pivotArea collapsedLevelsAreSubtotals="1" fieldPosition="0">
        <references count="1">
          <reference field="2" count="0"/>
        </references>
      </pivotArea>
    </format>
  </formats>
  <chartFormats count="3">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2" count="1" selected="0">
            <x v="0"/>
          </reference>
        </references>
      </pivotArea>
    </chartFormat>
    <chartFormat chart="19" format="6">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AD37F3-9B93-42AC-BBFF-E243C33D6FA2}" name="PivotTable7" cacheId="1489" applyNumberFormats="0" applyBorderFormats="0" applyFontFormats="0" applyPatternFormats="0" applyAlignmentFormats="0" applyWidthHeightFormats="1" dataCaption="Values" tag="83ad7c45-9b77-41dc-aa8e-75506d215fcd" updatedVersion="8" minRefreshableVersion="3" subtotalHiddenItems="1" itemPrintTitles="1" createdVersion="5" indent="0" outline="1" outlineData="1" multipleFieldFilters="0" chartFormat="15">
  <location ref="A59:B68"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Age Group" fld="1" subtotal="count" baseField="0" baseItem="0"/>
  </dataFields>
  <formats count="2">
    <format dxfId="100">
      <pivotArea outline="0" collapsedLevelsAreSubtotals="1" fieldPosition="0"/>
    </format>
    <format dxfId="101">
      <pivotArea collapsedLevelsAreSubtotals="1" fieldPosition="0">
        <references count="1">
          <reference field="2" count="0"/>
        </references>
      </pivotArea>
    </format>
  </formats>
  <chartFormats count="1">
    <chartFormat chart="10"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653AE45-DED6-422B-B58B-DB1C3D9F2987}" name="PivotTable6" cacheId="1486" applyNumberFormats="0" applyBorderFormats="0" applyFontFormats="0" applyPatternFormats="0" applyAlignmentFormats="0" applyWidthHeightFormats="1" dataCaption="Values" tag="def223cc-4e58-4daf-aed2-df7626522383" updatedVersion="8" minRefreshableVersion="3" subtotalHiddenItems="1" itemPrintTitles="1" createdVersion="5" indent="0" outline="1" outlineData="1" multipleFieldFilters="0" chartFormat="27">
  <location ref="L14:M4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99">
      <pivotArea collapsedLevelsAreSubtotals="1" fieldPosition="0">
        <references count="1">
          <reference field="0" count="0"/>
        </references>
      </pivotArea>
    </format>
  </formats>
  <chartFormats count="2">
    <chartFormat chart="22" format="2"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7F8057F-4DDC-488F-A4E9-BC7085820DCF}" name="PivotTable5" cacheId="1483" applyNumberFormats="0" applyBorderFormats="0" applyFontFormats="0" applyPatternFormats="0" applyAlignmentFormats="0" applyWidthHeightFormats="1" dataCaption="Values" tag="def223cc-4e58-4daf-aed2-df7626522383" updatedVersion="8" minRefreshableVersion="3" subtotalHiddenItems="1" itemPrintTitles="1" createdVersion="5" indent="0" outline="1" outlineData="1" multipleFieldFilters="0" chartFormat="19">
  <location ref="I14:J4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dataFields>
  <formats count="1">
    <format dxfId="98">
      <pivotArea collapsedLevelsAreSubtotals="1" fieldPosition="0">
        <references count="1">
          <reference field="0" count="0"/>
        </references>
      </pivotArea>
    </format>
  </formats>
  <chartFormats count="2">
    <chartFormat chart="12"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5981340-3C1A-4411-9B77-8F7346A498D4}" name="PivotTable4" cacheId="1480" applyNumberFormats="0" applyBorderFormats="0" applyFontFormats="0" applyPatternFormats="0" applyAlignmentFormats="0" applyWidthHeightFormats="1" dataCaption="Values" tag="def223cc-4e58-4daf-aed2-df7626522383" updatedVersion="8" minRefreshableVersion="3" subtotalHiddenItems="1" itemPrintTitles="1" createdVersion="5" indent="0" outline="1" outlineData="1" multipleFieldFilters="0" chartFormat="9">
  <location ref="E6:F37"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34CFB7B-55E1-42AD-ABEC-136ED288BF6D}" name="PivotTable2" cacheId="1474" applyNumberFormats="0" applyBorderFormats="0" applyFontFormats="0" applyPatternFormats="0" applyAlignmentFormats="0" applyWidthHeightFormats="1" dataCaption="Values" tag="d1a3389b-d435-4454-9560-f2c7c566aa19"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97">
      <pivotArea outline="0" collapsedLevelsAreSubtotals="1" fieldPosition="0"/>
    </format>
  </formats>
  <pivotHierarchies count="35">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3379EF9-909B-4B8E-9779-B3EF98A3FF71}" name="PivotTable1" cacheId="1465" applyNumberFormats="0" applyBorderFormats="0" applyFontFormats="0" applyPatternFormats="0" applyAlignmentFormats="0" applyWidthHeightFormats="1" dataCaption="Values" tag="def223cc-4e58-4daf-aed2-df7626522383"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3000365-3A65-45C9-9B74-70C33AED4AA1}" name="PivotTable3" cacheId="1477" applyNumberFormats="0" applyBorderFormats="0" applyFontFormats="0" applyPatternFormats="0" applyAlignmentFormats="0" applyWidthHeightFormats="1" dataCaption="Values" tag="83ad7c45-9b77-41dc-aa8e-75506d215fcd" updatedVersion="8" minRefreshableVersion="3" subtotalHiddenItems="1" itemPrintTitles="1" createdVersion="5" indent="0" outline="1" outlineData="1" multipleFieldFilters="0" chartFormat="7">
  <location ref="A42:C45"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95">
      <pivotArea outline="0" collapsedLevelsAreSubtotals="1" fieldPosition="0"/>
    </format>
    <format dxfId="96">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6">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2170681-A19E-4679-AD6B-1D10B9F2ACAB}" autoFormatId="16" applyNumberFormats="0" applyBorderFormats="0" applyFontFormats="0" applyPatternFormats="0" applyAlignmentFormats="0" applyWidthHeightFormats="0">
  <queryTableRefresh nextId="14">
    <queryTableFields count="13">
      <queryTableField id="1" name="Hospital Emergency Room Data  1[Patient Id]" tableColumnId="1"/>
      <queryTableField id="2" name="Hospital Emergency Room Data  1[Patient Admission Date]" tableColumnId="2"/>
      <queryTableField id="3" name="Hospital Emergency Room Data  1[Patient Admission Time]" tableColumnId="3"/>
      <queryTableField id="4" name="Hospital Emergency Room Data  1[Merged]" tableColumnId="4"/>
      <queryTableField id="5" name="Hospital Emergency Room Data  1[Patient Gender]" tableColumnId="5"/>
      <queryTableField id="6" name="Hospital Emergency Room Data  1[Patient Age]" tableColumnId="6"/>
      <queryTableField id="7" name="Hospital Emergency Room Data  1[Patient Race]" tableColumnId="7"/>
      <queryTableField id="8" name="Hospital Emergency Room Data  1[Department Referral]" tableColumnId="8"/>
      <queryTableField id="9" name="Hospital Emergency Room Data  1[Patient Admission Flag]" tableColumnId="9"/>
      <queryTableField id="10" name="Hospital Emergency Room Data  1[Patient Satisfaction Score]" tableColumnId="10"/>
      <queryTableField id="11" name="Hospital Emergency Room Data  1[Patient Waittime]" tableColumnId="11"/>
      <queryTableField id="12" name="Hospital Emergency Room Data  1[Age Group]" tableColumnId="12"/>
      <queryTableField id="13" name="Hospital Emergency Room Data  1[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8C4130C6-D8CF-444A-B581-F4F2998CBDD1}" sourceName="[Calende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1828776445">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nd="1"/>
              <i n="[Calender_Table].[Date (Month)].&amp;[Dec]" c="Dec" nd="1"/>
            </range>
          </ranges>
        </level>
      </levels>
      <selections count="1">
        <selection n="[Calender_Table].[Date (Month)].&amp;[Ju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CB5D4286-D78F-46BF-BD77-B528EE002157}" sourceName="[Calende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828776445">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4F5518C3-80EB-4251-B0C7-50416662643C}" cache="Slicer_Date__Month" caption="Date (Month)" showCaption="0" level="1" style="my style" rowHeight="182880"/>
  <slicer name="Date (Year)" xr10:uid="{55DD7E6B-41F2-4C8E-B23D-1C3C036DEF38}" cache="Slicer_Date__Year" caption="Date (Year)" columnCount="2" showCaption="0" level="1" style="my style" rowHeight="9144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2728D2-1F67-48DE-BB49-DCF762218C16}" name="Table_ExternalData_1" displayName="Table_ExternalData_1" ref="A3:M26" tableType="queryTable" totalsRowShown="0">
  <autoFilter ref="A3:M26" xr:uid="{CE2728D2-1F67-48DE-BB49-DCF762218C16}"/>
  <tableColumns count="13">
    <tableColumn id="1" xr3:uid="{BBFA2031-2D7C-412A-8DEA-19B8937B7089}" uniqueName="1" name="Hospital Emergency Room Data  1[Patient Id]" queryTableFieldId="1"/>
    <tableColumn id="2" xr3:uid="{8CE48368-E34D-4CF3-9CEB-FC1B23DF2A59}" uniqueName="2" name="Hospital Emergency Room Data  1[Patient Admission Date]" queryTableFieldId="2" dataDxfId="109"/>
    <tableColumn id="3" xr3:uid="{5DAD7DC2-D82D-4AD5-B465-507495E00EAD}" uniqueName="3" name="Hospital Emergency Room Data  1[Patient Admission Time]" queryTableFieldId="3" dataDxfId="108"/>
    <tableColumn id="4" xr3:uid="{7848E14D-97A8-4E8F-8BE0-16D24F278A41}" uniqueName="4" name="Hospital Emergency Room Data  1[Merged]" queryTableFieldId="4"/>
    <tableColumn id="5" xr3:uid="{D9B3E473-FFD9-42F7-BE65-E8D9F7A39B92}" uniqueName="5" name="Hospital Emergency Room Data  1[Patient Gender]" queryTableFieldId="5"/>
    <tableColumn id="6" xr3:uid="{2FAF9012-235B-460C-8C53-4E59670458D5}" uniqueName="6" name="Hospital Emergency Room Data  1[Patient Age]" queryTableFieldId="6"/>
    <tableColumn id="7" xr3:uid="{2AB84562-0EF2-4478-A9E8-31618B8EA9DC}" uniqueName="7" name="Hospital Emergency Room Data  1[Patient Race]" queryTableFieldId="7"/>
    <tableColumn id="8" xr3:uid="{02F1C26F-A2FD-4C1E-84BC-0B6C82AD8F8B}" uniqueName="8" name="Hospital Emergency Room Data  1[Department Referral]" queryTableFieldId="8"/>
    <tableColumn id="9" xr3:uid="{6130502C-F7AC-4C71-89A9-7131FE5413EB}" uniqueName="9" name="Hospital Emergency Room Data  1[Patient Admission Flag]" queryTableFieldId="9"/>
    <tableColumn id="10" xr3:uid="{976049B4-517C-4BF8-8017-0D9986072A84}" uniqueName="10" name="Hospital Emergency Room Data  1[Patient Satisfaction Score]" queryTableFieldId="10"/>
    <tableColumn id="11" xr3:uid="{77474277-937F-4640-8310-859E9AD99446}" uniqueName="11" name="Hospital Emergency Room Data  1[Patient Waittime]" queryTableFieldId="11"/>
    <tableColumn id="12" xr3:uid="{9F69A5BD-E9C3-4626-91E9-56080C18AE6B}" uniqueName="12" name="Hospital Emergency Room Data  1[Age Group]" queryTableFieldId="12"/>
    <tableColumn id="13" xr3:uid="{CE1551F5-7916-456E-B16B-B54E1D8CF667}" uniqueName="13" name="Hospital Emergency Room Data  1[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1B5AC-706E-4312-8135-01E6D97ECFCE}">
  <dimension ref="A1:M26"/>
  <sheetViews>
    <sheetView workbookViewId="0"/>
  </sheetViews>
  <sheetFormatPr defaultRowHeight="14.4" x14ac:dyDescent="0.3"/>
  <cols>
    <col min="1" max="1" width="41.6640625" bestFit="1" customWidth="1"/>
    <col min="2" max="2" width="53.33203125" bestFit="1" customWidth="1"/>
    <col min="3" max="3" width="53.5546875" bestFit="1" customWidth="1"/>
    <col min="4" max="4" width="40.109375" bestFit="1" customWidth="1"/>
    <col min="5" max="5" width="46.21875" bestFit="1" customWidth="1"/>
    <col min="6" max="6" width="43.21875" bestFit="1" customWidth="1"/>
    <col min="7" max="7" width="44.109375" bestFit="1" customWidth="1"/>
    <col min="8" max="8" width="50.88671875" bestFit="1" customWidth="1"/>
    <col min="9" max="9" width="52.77734375" bestFit="1" customWidth="1"/>
    <col min="10" max="10" width="55.21875" bestFit="1" customWidth="1"/>
    <col min="11" max="11" width="47.77734375" bestFit="1" customWidth="1"/>
    <col min="12" max="12" width="42.44140625" bestFit="1" customWidth="1"/>
    <col min="13" max="13" width="51.6640625" bestFit="1" customWidth="1"/>
  </cols>
  <sheetData>
    <row r="1" spans="1:13" x14ac:dyDescent="0.3">
      <c r="A1" s="14" t="s">
        <v>140</v>
      </c>
    </row>
    <row r="3" spans="1:13" x14ac:dyDescent="0.3">
      <c r="A3" t="s">
        <v>74</v>
      </c>
      <c r="B3" t="s">
        <v>75</v>
      </c>
      <c r="C3" t="s">
        <v>76</v>
      </c>
      <c r="D3" t="s">
        <v>77</v>
      </c>
      <c r="E3" t="s">
        <v>78</v>
      </c>
      <c r="F3" t="s">
        <v>79</v>
      </c>
      <c r="G3" t="s">
        <v>80</v>
      </c>
      <c r="H3" t="s">
        <v>81</v>
      </c>
      <c r="I3" t="s">
        <v>82</v>
      </c>
      <c r="J3" t="s">
        <v>83</v>
      </c>
      <c r="K3" t="s">
        <v>84</v>
      </c>
      <c r="L3" t="s">
        <v>85</v>
      </c>
      <c r="M3" t="s">
        <v>86</v>
      </c>
    </row>
    <row r="4" spans="1:13" x14ac:dyDescent="0.3">
      <c r="A4" t="s">
        <v>87</v>
      </c>
      <c r="B4" s="12">
        <v>45420</v>
      </c>
      <c r="C4" s="13">
        <v>9.375E-2</v>
      </c>
      <c r="D4" t="s">
        <v>88</v>
      </c>
      <c r="E4" t="s">
        <v>62</v>
      </c>
      <c r="F4">
        <v>64</v>
      </c>
      <c r="G4" t="s">
        <v>89</v>
      </c>
      <c r="H4" t="s">
        <v>65</v>
      </c>
      <c r="I4" t="b">
        <v>1</v>
      </c>
      <c r="J4">
        <v>0</v>
      </c>
      <c r="K4">
        <v>57</v>
      </c>
      <c r="L4" t="s">
        <v>54</v>
      </c>
      <c r="M4" t="s">
        <v>59</v>
      </c>
    </row>
    <row r="5" spans="1:13" x14ac:dyDescent="0.3">
      <c r="A5" t="s">
        <v>90</v>
      </c>
      <c r="B5" s="12">
        <v>45067</v>
      </c>
      <c r="C5" s="13">
        <v>4.4444444444444446E-2</v>
      </c>
      <c r="D5" t="s">
        <v>91</v>
      </c>
      <c r="E5" t="s">
        <v>62</v>
      </c>
      <c r="F5">
        <v>37</v>
      </c>
      <c r="G5" t="s">
        <v>92</v>
      </c>
      <c r="H5" t="s">
        <v>65</v>
      </c>
      <c r="I5" t="b">
        <v>0</v>
      </c>
      <c r="J5">
        <v>0</v>
      </c>
      <c r="K5">
        <v>48</v>
      </c>
      <c r="L5" t="s">
        <v>51</v>
      </c>
      <c r="M5" t="s">
        <v>59</v>
      </c>
    </row>
    <row r="6" spans="1:13" x14ac:dyDescent="0.3">
      <c r="A6" t="s">
        <v>93</v>
      </c>
      <c r="B6" s="12">
        <v>45422</v>
      </c>
      <c r="C6" s="13">
        <v>0.24027777777777778</v>
      </c>
      <c r="D6" t="s">
        <v>94</v>
      </c>
      <c r="E6" t="s">
        <v>62</v>
      </c>
      <c r="F6">
        <v>54</v>
      </c>
      <c r="G6" t="s">
        <v>95</v>
      </c>
      <c r="H6" t="s">
        <v>65</v>
      </c>
      <c r="I6" t="b">
        <v>0</v>
      </c>
      <c r="J6">
        <v>0</v>
      </c>
      <c r="K6">
        <v>21</v>
      </c>
      <c r="L6" t="s">
        <v>53</v>
      </c>
      <c r="M6" t="s">
        <v>58</v>
      </c>
    </row>
    <row r="7" spans="1:13" x14ac:dyDescent="0.3">
      <c r="A7" t="s">
        <v>96</v>
      </c>
      <c r="B7" s="12">
        <v>45416</v>
      </c>
      <c r="C7" s="13">
        <v>0.25416666666666665</v>
      </c>
      <c r="D7" t="s">
        <v>97</v>
      </c>
      <c r="E7" t="s">
        <v>62</v>
      </c>
      <c r="F7">
        <v>41</v>
      </c>
      <c r="G7" t="s">
        <v>89</v>
      </c>
      <c r="H7" t="s">
        <v>65</v>
      </c>
      <c r="I7" t="b">
        <v>0</v>
      </c>
      <c r="J7">
        <v>0</v>
      </c>
      <c r="K7">
        <v>48</v>
      </c>
      <c r="L7" t="s">
        <v>52</v>
      </c>
      <c r="M7" t="s">
        <v>59</v>
      </c>
    </row>
    <row r="8" spans="1:13" x14ac:dyDescent="0.3">
      <c r="A8" t="s">
        <v>98</v>
      </c>
      <c r="B8" s="12">
        <v>45059</v>
      </c>
      <c r="C8" s="13">
        <v>0.58402777777777781</v>
      </c>
      <c r="D8" t="s">
        <v>99</v>
      </c>
      <c r="E8" t="s">
        <v>63</v>
      </c>
      <c r="F8">
        <v>59</v>
      </c>
      <c r="G8" t="s">
        <v>92</v>
      </c>
      <c r="H8" t="s">
        <v>65</v>
      </c>
      <c r="I8" t="b">
        <v>0</v>
      </c>
      <c r="J8">
        <v>0</v>
      </c>
      <c r="K8">
        <v>54</v>
      </c>
      <c r="L8" t="s">
        <v>53</v>
      </c>
      <c r="M8" t="s">
        <v>59</v>
      </c>
    </row>
    <row r="9" spans="1:13" x14ac:dyDescent="0.3">
      <c r="A9" t="s">
        <v>100</v>
      </c>
      <c r="B9" s="12">
        <v>45435</v>
      </c>
      <c r="C9" s="13">
        <v>0.40277777777777779</v>
      </c>
      <c r="D9" t="s">
        <v>101</v>
      </c>
      <c r="E9" t="s">
        <v>63</v>
      </c>
      <c r="F9">
        <v>30</v>
      </c>
      <c r="G9" t="s">
        <v>92</v>
      </c>
      <c r="H9" t="s">
        <v>65</v>
      </c>
      <c r="I9" t="b">
        <v>0</v>
      </c>
      <c r="J9">
        <v>0</v>
      </c>
      <c r="K9">
        <v>50</v>
      </c>
      <c r="L9" t="s">
        <v>50</v>
      </c>
      <c r="M9" t="s">
        <v>59</v>
      </c>
    </row>
    <row r="10" spans="1:13" x14ac:dyDescent="0.3">
      <c r="A10" t="s">
        <v>102</v>
      </c>
      <c r="B10" s="12">
        <v>45076</v>
      </c>
      <c r="C10" s="13">
        <v>0.31736111111111109</v>
      </c>
      <c r="D10" t="s">
        <v>103</v>
      </c>
      <c r="E10" t="s">
        <v>63</v>
      </c>
      <c r="F10">
        <v>47</v>
      </c>
      <c r="G10" t="s">
        <v>104</v>
      </c>
      <c r="H10" t="s">
        <v>65</v>
      </c>
      <c r="I10" t="b">
        <v>0</v>
      </c>
      <c r="J10">
        <v>0</v>
      </c>
      <c r="K10">
        <v>23</v>
      </c>
      <c r="L10" t="s">
        <v>52</v>
      </c>
      <c r="M10" t="s">
        <v>58</v>
      </c>
    </row>
    <row r="11" spans="1:13" x14ac:dyDescent="0.3">
      <c r="A11" t="s">
        <v>105</v>
      </c>
      <c r="B11" s="12">
        <v>45437</v>
      </c>
      <c r="C11" s="13">
        <v>0.8833333333333333</v>
      </c>
      <c r="D11" t="s">
        <v>106</v>
      </c>
      <c r="E11" t="s">
        <v>63</v>
      </c>
      <c r="F11">
        <v>26</v>
      </c>
      <c r="G11" t="s">
        <v>104</v>
      </c>
      <c r="H11" t="s">
        <v>65</v>
      </c>
      <c r="I11" t="b">
        <v>0</v>
      </c>
      <c r="J11">
        <v>0</v>
      </c>
      <c r="K11">
        <v>50</v>
      </c>
      <c r="L11" t="s">
        <v>50</v>
      </c>
      <c r="M11" t="s">
        <v>59</v>
      </c>
    </row>
    <row r="12" spans="1:13" x14ac:dyDescent="0.3">
      <c r="A12" t="s">
        <v>107</v>
      </c>
      <c r="B12" s="12">
        <v>45433</v>
      </c>
      <c r="C12" s="13">
        <v>0.35138888888888886</v>
      </c>
      <c r="D12" t="s">
        <v>108</v>
      </c>
      <c r="E12" t="s">
        <v>63</v>
      </c>
      <c r="F12">
        <v>65</v>
      </c>
      <c r="G12" t="s">
        <v>109</v>
      </c>
      <c r="H12" t="s">
        <v>65</v>
      </c>
      <c r="I12" t="b">
        <v>0</v>
      </c>
      <c r="J12">
        <v>0</v>
      </c>
      <c r="K12">
        <v>44</v>
      </c>
      <c r="L12" t="s">
        <v>54</v>
      </c>
      <c r="M12" t="s">
        <v>59</v>
      </c>
    </row>
    <row r="13" spans="1:13" x14ac:dyDescent="0.3">
      <c r="A13" t="s">
        <v>110</v>
      </c>
      <c r="B13" s="12">
        <v>45055</v>
      </c>
      <c r="C13" s="13">
        <v>0.52222222222222225</v>
      </c>
      <c r="D13" t="s">
        <v>111</v>
      </c>
      <c r="E13" t="s">
        <v>62</v>
      </c>
      <c r="F13">
        <v>59</v>
      </c>
      <c r="G13" t="s">
        <v>92</v>
      </c>
      <c r="H13" t="s">
        <v>65</v>
      </c>
      <c r="I13" t="b">
        <v>1</v>
      </c>
      <c r="J13">
        <v>0</v>
      </c>
      <c r="K13">
        <v>10</v>
      </c>
      <c r="L13" t="s">
        <v>53</v>
      </c>
      <c r="M13" t="s">
        <v>58</v>
      </c>
    </row>
    <row r="14" spans="1:13" x14ac:dyDescent="0.3">
      <c r="A14" t="s">
        <v>112</v>
      </c>
      <c r="B14" s="12">
        <v>45068</v>
      </c>
      <c r="C14" s="13">
        <v>0.64236111111111116</v>
      </c>
      <c r="D14" t="s">
        <v>113</v>
      </c>
      <c r="E14" t="s">
        <v>62</v>
      </c>
      <c r="F14">
        <v>22</v>
      </c>
      <c r="G14" t="s">
        <v>114</v>
      </c>
      <c r="H14" t="s">
        <v>65</v>
      </c>
      <c r="I14" t="b">
        <v>1</v>
      </c>
      <c r="J14">
        <v>0</v>
      </c>
      <c r="K14">
        <v>56</v>
      </c>
      <c r="L14" t="s">
        <v>50</v>
      </c>
      <c r="M14" t="s">
        <v>59</v>
      </c>
    </row>
    <row r="15" spans="1:13" x14ac:dyDescent="0.3">
      <c r="A15" t="s">
        <v>115</v>
      </c>
      <c r="B15" s="12">
        <v>45049</v>
      </c>
      <c r="C15" s="13">
        <v>0.8256944444444444</v>
      </c>
      <c r="D15" t="s">
        <v>116</v>
      </c>
      <c r="E15" t="s">
        <v>62</v>
      </c>
      <c r="F15">
        <v>63</v>
      </c>
      <c r="G15" t="s">
        <v>109</v>
      </c>
      <c r="H15" t="s">
        <v>65</v>
      </c>
      <c r="I15" t="b">
        <v>1</v>
      </c>
      <c r="J15">
        <v>0</v>
      </c>
      <c r="K15">
        <v>25</v>
      </c>
      <c r="L15" t="s">
        <v>54</v>
      </c>
      <c r="M15" t="s">
        <v>58</v>
      </c>
    </row>
    <row r="16" spans="1:13" x14ac:dyDescent="0.3">
      <c r="A16" t="s">
        <v>117</v>
      </c>
      <c r="B16" s="12">
        <v>45057</v>
      </c>
      <c r="C16" s="13">
        <v>0.54027777777777775</v>
      </c>
      <c r="D16" t="s">
        <v>118</v>
      </c>
      <c r="E16" t="s">
        <v>62</v>
      </c>
      <c r="F16">
        <v>27</v>
      </c>
      <c r="G16" t="s">
        <v>89</v>
      </c>
      <c r="H16" t="s">
        <v>65</v>
      </c>
      <c r="I16" t="b">
        <v>1</v>
      </c>
      <c r="J16">
        <v>0</v>
      </c>
      <c r="K16">
        <v>11</v>
      </c>
      <c r="L16" t="s">
        <v>50</v>
      </c>
      <c r="M16" t="s">
        <v>58</v>
      </c>
    </row>
    <row r="17" spans="1:13" x14ac:dyDescent="0.3">
      <c r="A17" t="s">
        <v>119</v>
      </c>
      <c r="B17" s="12">
        <v>45424</v>
      </c>
      <c r="C17" s="13">
        <v>6.9444444444444448E-2</v>
      </c>
      <c r="D17" t="s">
        <v>120</v>
      </c>
      <c r="E17" t="s">
        <v>63</v>
      </c>
      <c r="F17">
        <v>14</v>
      </c>
      <c r="G17" t="s">
        <v>95</v>
      </c>
      <c r="H17" t="s">
        <v>65</v>
      </c>
      <c r="I17" t="b">
        <v>1</v>
      </c>
      <c r="J17">
        <v>0</v>
      </c>
      <c r="K17">
        <v>44</v>
      </c>
      <c r="L17" t="s">
        <v>49</v>
      </c>
      <c r="M17" t="s">
        <v>59</v>
      </c>
    </row>
    <row r="18" spans="1:13" x14ac:dyDescent="0.3">
      <c r="A18" t="s">
        <v>121</v>
      </c>
      <c r="B18" s="12">
        <v>45062</v>
      </c>
      <c r="C18" s="13">
        <v>0.48472222222222222</v>
      </c>
      <c r="D18" t="s">
        <v>122</v>
      </c>
      <c r="E18" t="s">
        <v>63</v>
      </c>
      <c r="F18">
        <v>78</v>
      </c>
      <c r="G18" t="s">
        <v>123</v>
      </c>
      <c r="H18" t="s">
        <v>65</v>
      </c>
      <c r="I18" t="b">
        <v>1</v>
      </c>
      <c r="J18">
        <v>0</v>
      </c>
      <c r="K18">
        <v>48</v>
      </c>
      <c r="L18" t="s">
        <v>55</v>
      </c>
      <c r="M18" t="s">
        <v>59</v>
      </c>
    </row>
    <row r="19" spans="1:13" x14ac:dyDescent="0.3">
      <c r="A19" t="s">
        <v>124</v>
      </c>
      <c r="B19" s="12">
        <v>45430</v>
      </c>
      <c r="C19" s="13">
        <v>0.54027777777777775</v>
      </c>
      <c r="D19" t="s">
        <v>125</v>
      </c>
      <c r="E19" t="s">
        <v>62</v>
      </c>
      <c r="F19">
        <v>33</v>
      </c>
      <c r="G19" t="s">
        <v>92</v>
      </c>
      <c r="H19" t="s">
        <v>65</v>
      </c>
      <c r="I19" t="b">
        <v>0</v>
      </c>
      <c r="J19">
        <v>3</v>
      </c>
      <c r="K19">
        <v>55</v>
      </c>
      <c r="L19" t="s">
        <v>51</v>
      </c>
      <c r="M19" t="s">
        <v>59</v>
      </c>
    </row>
    <row r="20" spans="1:13" x14ac:dyDescent="0.3">
      <c r="A20" t="s">
        <v>126</v>
      </c>
      <c r="B20" s="12">
        <v>45058</v>
      </c>
      <c r="C20" s="13">
        <v>1.2500000000000001E-2</v>
      </c>
      <c r="D20" t="s">
        <v>127</v>
      </c>
      <c r="E20" t="s">
        <v>63</v>
      </c>
      <c r="F20">
        <v>78</v>
      </c>
      <c r="G20" t="s">
        <v>114</v>
      </c>
      <c r="H20" t="s">
        <v>65</v>
      </c>
      <c r="I20" t="b">
        <v>0</v>
      </c>
      <c r="J20">
        <v>1</v>
      </c>
      <c r="K20">
        <v>33</v>
      </c>
      <c r="L20" t="s">
        <v>55</v>
      </c>
      <c r="M20" t="s">
        <v>59</v>
      </c>
    </row>
    <row r="21" spans="1:13" x14ac:dyDescent="0.3">
      <c r="A21" t="s">
        <v>128</v>
      </c>
      <c r="B21" s="12">
        <v>45426</v>
      </c>
      <c r="C21" s="13">
        <v>0.59444444444444444</v>
      </c>
      <c r="D21" t="s">
        <v>129</v>
      </c>
      <c r="E21" t="s">
        <v>63</v>
      </c>
      <c r="F21">
        <v>78</v>
      </c>
      <c r="G21" t="s">
        <v>104</v>
      </c>
      <c r="H21" t="s">
        <v>65</v>
      </c>
      <c r="I21" t="b">
        <v>0</v>
      </c>
      <c r="J21">
        <v>4</v>
      </c>
      <c r="K21">
        <v>13</v>
      </c>
      <c r="L21" t="s">
        <v>55</v>
      </c>
      <c r="M21" t="s">
        <v>58</v>
      </c>
    </row>
    <row r="22" spans="1:13" x14ac:dyDescent="0.3">
      <c r="A22" t="s">
        <v>130</v>
      </c>
      <c r="B22" s="12">
        <v>45064</v>
      </c>
      <c r="C22" s="13">
        <v>0.17083333333333334</v>
      </c>
      <c r="D22" t="s">
        <v>131</v>
      </c>
      <c r="E22" t="s">
        <v>63</v>
      </c>
      <c r="F22">
        <v>23</v>
      </c>
      <c r="G22" t="s">
        <v>109</v>
      </c>
      <c r="H22" t="s">
        <v>65</v>
      </c>
      <c r="I22" t="b">
        <v>0</v>
      </c>
      <c r="J22">
        <v>8</v>
      </c>
      <c r="K22">
        <v>16</v>
      </c>
      <c r="L22" t="s">
        <v>50</v>
      </c>
      <c r="M22" t="s">
        <v>58</v>
      </c>
    </row>
    <row r="23" spans="1:13" x14ac:dyDescent="0.3">
      <c r="A23" t="s">
        <v>132</v>
      </c>
      <c r="B23" s="12">
        <v>45425</v>
      </c>
      <c r="C23" s="13">
        <v>0.60416666666666663</v>
      </c>
      <c r="D23" t="s">
        <v>133</v>
      </c>
      <c r="E23" t="s">
        <v>63</v>
      </c>
      <c r="F23">
        <v>45</v>
      </c>
      <c r="G23" t="s">
        <v>109</v>
      </c>
      <c r="H23" t="s">
        <v>65</v>
      </c>
      <c r="I23" t="b">
        <v>0</v>
      </c>
      <c r="J23">
        <v>8</v>
      </c>
      <c r="K23">
        <v>30</v>
      </c>
      <c r="L23" t="s">
        <v>52</v>
      </c>
      <c r="M23" t="s">
        <v>58</v>
      </c>
    </row>
    <row r="24" spans="1:13" x14ac:dyDescent="0.3">
      <c r="A24" t="s">
        <v>134</v>
      </c>
      <c r="B24" s="12">
        <v>45416</v>
      </c>
      <c r="C24" s="13">
        <v>0.72361111111111109</v>
      </c>
      <c r="D24" t="s">
        <v>135</v>
      </c>
      <c r="E24" t="s">
        <v>63</v>
      </c>
      <c r="F24">
        <v>7</v>
      </c>
      <c r="G24" t="s">
        <v>114</v>
      </c>
      <c r="H24" t="s">
        <v>65</v>
      </c>
      <c r="I24" t="b">
        <v>1</v>
      </c>
      <c r="J24">
        <v>2</v>
      </c>
      <c r="K24">
        <v>44</v>
      </c>
      <c r="L24" t="s">
        <v>48</v>
      </c>
      <c r="M24" t="s">
        <v>59</v>
      </c>
    </row>
    <row r="25" spans="1:13" x14ac:dyDescent="0.3">
      <c r="A25" t="s">
        <v>136</v>
      </c>
      <c r="B25" s="12">
        <v>45057</v>
      </c>
      <c r="C25" s="13">
        <v>0.79305555555555551</v>
      </c>
      <c r="D25" t="s">
        <v>137</v>
      </c>
      <c r="E25" t="s">
        <v>63</v>
      </c>
      <c r="F25">
        <v>63</v>
      </c>
      <c r="G25" t="s">
        <v>109</v>
      </c>
      <c r="H25" t="s">
        <v>65</v>
      </c>
      <c r="I25" t="b">
        <v>1</v>
      </c>
      <c r="J25">
        <v>7</v>
      </c>
      <c r="K25">
        <v>56</v>
      </c>
      <c r="L25" t="s">
        <v>54</v>
      </c>
      <c r="M25" t="s">
        <v>59</v>
      </c>
    </row>
    <row r="26" spans="1:13" x14ac:dyDescent="0.3">
      <c r="A26" t="s">
        <v>138</v>
      </c>
      <c r="B26" s="12">
        <v>45065</v>
      </c>
      <c r="C26" s="13">
        <v>0.58402777777777781</v>
      </c>
      <c r="D26" t="s">
        <v>139</v>
      </c>
      <c r="E26" t="s">
        <v>63</v>
      </c>
      <c r="F26">
        <v>53</v>
      </c>
      <c r="G26" t="s">
        <v>89</v>
      </c>
      <c r="H26" t="s">
        <v>65</v>
      </c>
      <c r="I26" t="b">
        <v>0</v>
      </c>
      <c r="J26">
        <v>6</v>
      </c>
      <c r="K26">
        <v>35</v>
      </c>
      <c r="L26" t="s">
        <v>53</v>
      </c>
      <c r="M26" t="s">
        <v>59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C3A0E-662D-403C-B6C6-F09443F48EB1}">
  <dimension ref="A3:M100"/>
  <sheetViews>
    <sheetView topLeftCell="A83" workbookViewId="0">
      <selection activeCell="J9" sqref="J9"/>
    </sheetView>
  </sheetViews>
  <sheetFormatPr defaultRowHeight="14.4" x14ac:dyDescent="0.3"/>
  <cols>
    <col min="1" max="1" width="32.44140625" bestFit="1" customWidth="1"/>
    <col min="2" max="2" width="28.109375" bestFit="1" customWidth="1"/>
    <col min="3" max="3" width="9.33203125" customWidth="1"/>
    <col min="5" max="5" width="14" customWidth="1"/>
    <col min="6" max="6" width="23.88671875" bestFit="1" customWidth="1"/>
    <col min="9" max="9" width="15.33203125" bestFit="1" customWidth="1"/>
    <col min="10" max="10" width="23.88671875" bestFit="1" customWidth="1"/>
    <col min="12" max="12" width="25.6640625" bestFit="1" customWidth="1"/>
    <col min="13" max="13" width="25" bestFit="1" customWidth="1"/>
  </cols>
  <sheetData>
    <row r="3" spans="1:13" x14ac:dyDescent="0.3">
      <c r="A3" t="s">
        <v>1</v>
      </c>
    </row>
    <row r="4" spans="1:13" x14ac:dyDescent="0.3">
      <c r="A4" t="s">
        <v>0</v>
      </c>
    </row>
    <row r="5" spans="1:13" x14ac:dyDescent="0.3">
      <c r="A5" s="4">
        <v>485</v>
      </c>
      <c r="E5" t="s">
        <v>37</v>
      </c>
    </row>
    <row r="6" spans="1:13" x14ac:dyDescent="0.3">
      <c r="E6" s="3" t="s">
        <v>4</v>
      </c>
      <c r="F6" t="s">
        <v>0</v>
      </c>
    </row>
    <row r="7" spans="1:13" x14ac:dyDescent="0.3">
      <c r="E7" s="5" t="s">
        <v>7</v>
      </c>
      <c r="F7" s="4">
        <v>17</v>
      </c>
    </row>
    <row r="8" spans="1:13" x14ac:dyDescent="0.3">
      <c r="A8" t="s">
        <v>2</v>
      </c>
      <c r="E8" s="5" t="s">
        <v>8</v>
      </c>
      <c r="F8" s="4">
        <v>10</v>
      </c>
    </row>
    <row r="9" spans="1:13" x14ac:dyDescent="0.3">
      <c r="A9" s="1">
        <v>35.507216494845359</v>
      </c>
      <c r="E9" s="5" t="s">
        <v>9</v>
      </c>
      <c r="F9" s="4">
        <v>23</v>
      </c>
    </row>
    <row r="10" spans="1:13" x14ac:dyDescent="0.3">
      <c r="E10" s="5" t="s">
        <v>10</v>
      </c>
      <c r="F10" s="4">
        <v>15</v>
      </c>
    </row>
    <row r="11" spans="1:13" x14ac:dyDescent="0.3">
      <c r="E11" s="5" t="s">
        <v>11</v>
      </c>
      <c r="F11" s="4">
        <v>14</v>
      </c>
    </row>
    <row r="12" spans="1:13" x14ac:dyDescent="0.3">
      <c r="E12" s="5" t="s">
        <v>12</v>
      </c>
      <c r="F12" s="4">
        <v>11</v>
      </c>
    </row>
    <row r="13" spans="1:13" x14ac:dyDescent="0.3">
      <c r="A13" t="s">
        <v>3</v>
      </c>
      <c r="E13" s="5" t="s">
        <v>13</v>
      </c>
      <c r="F13" s="4">
        <v>15</v>
      </c>
      <c r="I13" t="s">
        <v>38</v>
      </c>
      <c r="L13" t="s">
        <v>39</v>
      </c>
    </row>
    <row r="14" spans="1:13" x14ac:dyDescent="0.3">
      <c r="A14" s="1">
        <v>1.3690721649484536</v>
      </c>
      <c r="E14" s="5" t="s">
        <v>14</v>
      </c>
      <c r="F14" s="4">
        <v>20</v>
      </c>
      <c r="I14" s="3" t="s">
        <v>4</v>
      </c>
      <c r="J14" t="s">
        <v>2</v>
      </c>
      <c r="L14" s="3" t="s">
        <v>4</v>
      </c>
      <c r="M14" t="s">
        <v>3</v>
      </c>
    </row>
    <row r="15" spans="1:13" x14ac:dyDescent="0.3">
      <c r="E15" s="5" t="s">
        <v>15</v>
      </c>
      <c r="F15" s="4">
        <v>21</v>
      </c>
      <c r="I15" s="5" t="s">
        <v>7</v>
      </c>
      <c r="J15" s="1">
        <v>33.352941176470587</v>
      </c>
      <c r="L15" s="5" t="s">
        <v>7</v>
      </c>
      <c r="M15" s="1">
        <v>1.1176470588235294</v>
      </c>
    </row>
    <row r="16" spans="1:13" x14ac:dyDescent="0.3">
      <c r="E16" s="5" t="s">
        <v>16</v>
      </c>
      <c r="F16" s="4">
        <v>17</v>
      </c>
      <c r="I16" s="5" t="s">
        <v>8</v>
      </c>
      <c r="J16" s="1">
        <v>38.4</v>
      </c>
      <c r="L16" s="5" t="s">
        <v>8</v>
      </c>
      <c r="M16" s="1">
        <v>2.6</v>
      </c>
    </row>
    <row r="17" spans="5:13" x14ac:dyDescent="0.3">
      <c r="E17" s="5" t="s">
        <v>17</v>
      </c>
      <c r="F17" s="4">
        <v>17</v>
      </c>
      <c r="I17" s="5" t="s">
        <v>9</v>
      </c>
      <c r="J17" s="1">
        <v>38.521739130434781</v>
      </c>
      <c r="L17" s="5" t="s">
        <v>9</v>
      </c>
      <c r="M17" s="1">
        <v>1.173913043478261</v>
      </c>
    </row>
    <row r="18" spans="5:13" x14ac:dyDescent="0.3">
      <c r="E18" s="5" t="s">
        <v>18</v>
      </c>
      <c r="F18" s="4">
        <v>17</v>
      </c>
      <c r="I18" s="5" t="s">
        <v>10</v>
      </c>
      <c r="J18" s="1">
        <v>30.4</v>
      </c>
      <c r="L18" s="5" t="s">
        <v>10</v>
      </c>
      <c r="M18" s="1">
        <v>1.9333333333333333</v>
      </c>
    </row>
    <row r="19" spans="5:13" x14ac:dyDescent="0.3">
      <c r="E19" s="5" t="s">
        <v>19</v>
      </c>
      <c r="F19" s="4">
        <v>17</v>
      </c>
      <c r="I19" s="5" t="s">
        <v>11</v>
      </c>
      <c r="J19" s="1">
        <v>33.142857142857146</v>
      </c>
      <c r="L19" s="5" t="s">
        <v>11</v>
      </c>
      <c r="M19" s="1">
        <v>2.5</v>
      </c>
    </row>
    <row r="20" spans="5:13" x14ac:dyDescent="0.3">
      <c r="E20" s="5" t="s">
        <v>20</v>
      </c>
      <c r="F20" s="4">
        <v>11</v>
      </c>
      <c r="I20" s="5" t="s">
        <v>12</v>
      </c>
      <c r="J20" s="1">
        <v>38.18181818181818</v>
      </c>
      <c r="L20" s="5" t="s">
        <v>12</v>
      </c>
      <c r="M20" s="1">
        <v>1.0909090909090908</v>
      </c>
    </row>
    <row r="21" spans="5:13" x14ac:dyDescent="0.3">
      <c r="E21" s="5" t="s">
        <v>21</v>
      </c>
      <c r="F21" s="4">
        <v>23</v>
      </c>
      <c r="I21" s="5" t="s">
        <v>13</v>
      </c>
      <c r="J21" s="1">
        <v>39.733333333333334</v>
      </c>
      <c r="L21" s="5" t="s">
        <v>13</v>
      </c>
      <c r="M21" s="1">
        <v>1.3333333333333333</v>
      </c>
    </row>
    <row r="22" spans="5:13" x14ac:dyDescent="0.3">
      <c r="E22" s="5" t="s">
        <v>22</v>
      </c>
      <c r="F22" s="4">
        <v>14</v>
      </c>
      <c r="I22" s="5" t="s">
        <v>14</v>
      </c>
      <c r="J22" s="1">
        <v>37</v>
      </c>
      <c r="L22" s="5" t="s">
        <v>14</v>
      </c>
      <c r="M22" s="1">
        <v>0.3</v>
      </c>
    </row>
    <row r="23" spans="5:13" x14ac:dyDescent="0.3">
      <c r="E23" s="5" t="s">
        <v>23</v>
      </c>
      <c r="F23" s="4">
        <v>22</v>
      </c>
      <c r="I23" s="5" t="s">
        <v>15</v>
      </c>
      <c r="J23" s="1">
        <v>35.61904761904762</v>
      </c>
      <c r="L23" s="5" t="s">
        <v>15</v>
      </c>
      <c r="M23" s="1">
        <v>2.5714285714285716</v>
      </c>
    </row>
    <row r="24" spans="5:13" x14ac:dyDescent="0.3">
      <c r="E24" s="5" t="s">
        <v>24</v>
      </c>
      <c r="F24" s="4">
        <v>16</v>
      </c>
      <c r="I24" s="5" t="s">
        <v>16</v>
      </c>
      <c r="J24" s="1">
        <v>34.176470588235297</v>
      </c>
      <c r="L24" s="5" t="s">
        <v>16</v>
      </c>
      <c r="M24" s="1">
        <v>1.3529411764705883</v>
      </c>
    </row>
    <row r="25" spans="5:13" x14ac:dyDescent="0.3">
      <c r="E25" s="5" t="s">
        <v>25</v>
      </c>
      <c r="F25" s="4">
        <v>13</v>
      </c>
      <c r="I25" s="5" t="s">
        <v>17</v>
      </c>
      <c r="J25" s="1">
        <v>37.176470588235297</v>
      </c>
      <c r="L25" s="5" t="s">
        <v>17</v>
      </c>
      <c r="M25" s="1">
        <v>1.8235294117647058</v>
      </c>
    </row>
    <row r="26" spans="5:13" x14ac:dyDescent="0.3">
      <c r="E26" s="5" t="s">
        <v>26</v>
      </c>
      <c r="F26" s="4">
        <v>14</v>
      </c>
      <c r="I26" s="5" t="s">
        <v>18</v>
      </c>
      <c r="J26" s="1">
        <v>36.647058823529413</v>
      </c>
      <c r="L26" s="5" t="s">
        <v>18</v>
      </c>
      <c r="M26" s="1">
        <v>1.5294117647058822</v>
      </c>
    </row>
    <row r="27" spans="5:13" x14ac:dyDescent="0.3">
      <c r="E27" s="5" t="s">
        <v>27</v>
      </c>
      <c r="F27" s="4">
        <v>12</v>
      </c>
      <c r="I27" s="5" t="s">
        <v>19</v>
      </c>
      <c r="J27" s="1">
        <v>34.941176470588232</v>
      </c>
      <c r="L27" s="5" t="s">
        <v>19</v>
      </c>
      <c r="M27" s="1">
        <v>0.82352941176470584</v>
      </c>
    </row>
    <row r="28" spans="5:13" x14ac:dyDescent="0.3">
      <c r="E28" s="5" t="s">
        <v>28</v>
      </c>
      <c r="F28" s="4">
        <v>12</v>
      </c>
      <c r="I28" s="5" t="s">
        <v>20</v>
      </c>
      <c r="J28" s="1">
        <v>44</v>
      </c>
      <c r="L28" s="5" t="s">
        <v>20</v>
      </c>
      <c r="M28" s="1">
        <v>2.4545454545454546</v>
      </c>
    </row>
    <row r="29" spans="5:13" x14ac:dyDescent="0.3">
      <c r="E29" s="5" t="s">
        <v>29</v>
      </c>
      <c r="F29" s="4">
        <v>20</v>
      </c>
      <c r="I29" s="5" t="s">
        <v>21</v>
      </c>
      <c r="J29" s="1">
        <v>38.913043478260867</v>
      </c>
      <c r="L29" s="5" t="s">
        <v>21</v>
      </c>
      <c r="M29" s="1">
        <v>1.8695652173913044</v>
      </c>
    </row>
    <row r="30" spans="5:13" x14ac:dyDescent="0.3">
      <c r="E30" s="5" t="s">
        <v>30</v>
      </c>
      <c r="F30" s="4">
        <v>19</v>
      </c>
      <c r="I30" s="5" t="s">
        <v>22</v>
      </c>
      <c r="J30" s="1">
        <v>31</v>
      </c>
      <c r="L30" s="5" t="s">
        <v>22</v>
      </c>
      <c r="M30" s="1">
        <v>0.7142857142857143</v>
      </c>
    </row>
    <row r="31" spans="5:13" x14ac:dyDescent="0.3">
      <c r="E31" s="5" t="s">
        <v>31</v>
      </c>
      <c r="F31" s="4">
        <v>13</v>
      </c>
      <c r="I31" s="5" t="s">
        <v>23</v>
      </c>
      <c r="J31" s="1">
        <v>34.227272727272727</v>
      </c>
      <c r="L31" s="5" t="s">
        <v>23</v>
      </c>
      <c r="M31" s="1">
        <v>1.4090909090909092</v>
      </c>
    </row>
    <row r="32" spans="5:13" x14ac:dyDescent="0.3">
      <c r="E32" s="5" t="s">
        <v>32</v>
      </c>
      <c r="F32" s="4">
        <v>15</v>
      </c>
      <c r="I32" s="5" t="s">
        <v>24</v>
      </c>
      <c r="J32" s="1">
        <v>31</v>
      </c>
      <c r="L32" s="5" t="s">
        <v>24</v>
      </c>
      <c r="M32" s="1">
        <v>0.3125</v>
      </c>
    </row>
    <row r="33" spans="1:13" x14ac:dyDescent="0.3">
      <c r="E33" s="5" t="s">
        <v>33</v>
      </c>
      <c r="F33" s="4">
        <v>19</v>
      </c>
      <c r="I33" s="5" t="s">
        <v>25</v>
      </c>
      <c r="J33" s="1">
        <v>32.153846153846153</v>
      </c>
      <c r="L33" s="5" t="s">
        <v>25</v>
      </c>
      <c r="M33" s="1">
        <v>0.69230769230769229</v>
      </c>
    </row>
    <row r="34" spans="1:13" x14ac:dyDescent="0.3">
      <c r="E34" s="5" t="s">
        <v>34</v>
      </c>
      <c r="F34" s="4">
        <v>17</v>
      </c>
      <c r="I34" s="5" t="s">
        <v>26</v>
      </c>
      <c r="J34" s="1">
        <v>32.785714285714285</v>
      </c>
      <c r="L34" s="5" t="s">
        <v>26</v>
      </c>
      <c r="M34" s="1">
        <v>1.6428571428571428</v>
      </c>
    </row>
    <row r="35" spans="1:13" x14ac:dyDescent="0.3">
      <c r="E35" s="5" t="s">
        <v>35</v>
      </c>
      <c r="F35" s="4">
        <v>15</v>
      </c>
      <c r="I35" s="5" t="s">
        <v>27</v>
      </c>
      <c r="J35" s="1">
        <v>30</v>
      </c>
      <c r="L35" s="5" t="s">
        <v>27</v>
      </c>
      <c r="M35" s="1">
        <v>1.8333333333333333</v>
      </c>
    </row>
    <row r="36" spans="1:13" x14ac:dyDescent="0.3">
      <c r="E36" s="5" t="s">
        <v>36</v>
      </c>
      <c r="F36" s="4">
        <v>16</v>
      </c>
      <c r="I36" s="5" t="s">
        <v>28</v>
      </c>
      <c r="J36" s="1">
        <v>33.5</v>
      </c>
      <c r="L36" s="5" t="s">
        <v>28</v>
      </c>
      <c r="M36" s="1">
        <v>2.1666666666666665</v>
      </c>
    </row>
    <row r="37" spans="1:13" x14ac:dyDescent="0.3">
      <c r="E37" s="5" t="s">
        <v>5</v>
      </c>
      <c r="F37" s="4">
        <v>485</v>
      </c>
      <c r="I37" s="5" t="s">
        <v>29</v>
      </c>
      <c r="J37" s="1">
        <v>32.950000000000003</v>
      </c>
      <c r="L37" s="5" t="s">
        <v>29</v>
      </c>
      <c r="M37" s="1">
        <v>1</v>
      </c>
    </row>
    <row r="38" spans="1:13" x14ac:dyDescent="0.3">
      <c r="I38" s="5" t="s">
        <v>30</v>
      </c>
      <c r="J38" s="1">
        <v>35.842105263157897</v>
      </c>
      <c r="L38" s="5" t="s">
        <v>30</v>
      </c>
      <c r="M38" s="1">
        <v>1.1052631578947369</v>
      </c>
    </row>
    <row r="39" spans="1:13" x14ac:dyDescent="0.3">
      <c r="I39" s="5" t="s">
        <v>31</v>
      </c>
      <c r="J39" s="1">
        <v>33.846153846153847</v>
      </c>
      <c r="L39" s="5" t="s">
        <v>31</v>
      </c>
      <c r="M39" s="1">
        <v>1.4615384615384615</v>
      </c>
    </row>
    <row r="40" spans="1:13" x14ac:dyDescent="0.3">
      <c r="I40" s="5" t="s">
        <v>32</v>
      </c>
      <c r="J40" s="1">
        <v>39.06666666666667</v>
      </c>
      <c r="L40" s="5" t="s">
        <v>32</v>
      </c>
      <c r="M40" s="1">
        <v>1.6666666666666667</v>
      </c>
    </row>
    <row r="41" spans="1:13" x14ac:dyDescent="0.3">
      <c r="I41" s="5" t="s">
        <v>33</v>
      </c>
      <c r="J41" s="1">
        <v>36.684210526315788</v>
      </c>
      <c r="L41" s="5" t="s">
        <v>33</v>
      </c>
      <c r="M41" s="1">
        <v>0.42105263157894735</v>
      </c>
    </row>
    <row r="42" spans="1:13" x14ac:dyDescent="0.3">
      <c r="A42" s="3" t="s">
        <v>4</v>
      </c>
      <c r="B42" t="s">
        <v>40</v>
      </c>
      <c r="C42" t="s">
        <v>43</v>
      </c>
      <c r="I42" s="5" t="s">
        <v>34</v>
      </c>
      <c r="J42" s="1">
        <v>33.764705882352942</v>
      </c>
      <c r="L42" s="5" t="s">
        <v>34</v>
      </c>
      <c r="M42" s="1">
        <v>0.94117647058823528</v>
      </c>
    </row>
    <row r="43" spans="1:13" x14ac:dyDescent="0.3">
      <c r="A43" s="5" t="s">
        <v>41</v>
      </c>
      <c r="B43" s="1">
        <v>250</v>
      </c>
      <c r="C43" s="8">
        <v>0.51546391752577314</v>
      </c>
      <c r="I43" s="5" t="s">
        <v>35</v>
      </c>
      <c r="J43" s="1">
        <v>34.533333333333331</v>
      </c>
      <c r="L43" s="5" t="s">
        <v>35</v>
      </c>
      <c r="M43" s="1">
        <v>1.2</v>
      </c>
    </row>
    <row r="44" spans="1:13" x14ac:dyDescent="0.3">
      <c r="A44" s="5" t="s">
        <v>42</v>
      </c>
      <c r="B44" s="1">
        <v>235</v>
      </c>
      <c r="C44" s="8">
        <v>0.4845360824742268</v>
      </c>
      <c r="I44" s="5" t="s">
        <v>36</v>
      </c>
      <c r="J44" s="1">
        <v>42.125</v>
      </c>
      <c r="L44" s="5" t="s">
        <v>36</v>
      </c>
      <c r="M44" s="1">
        <v>1.1875</v>
      </c>
    </row>
    <row r="45" spans="1:13" x14ac:dyDescent="0.3">
      <c r="A45" s="5" t="s">
        <v>5</v>
      </c>
      <c r="B45" s="1">
        <v>485</v>
      </c>
      <c r="C45" s="8">
        <v>1</v>
      </c>
      <c r="I45" s="5" t="s">
        <v>5</v>
      </c>
      <c r="J45" s="4">
        <v>35.507216494845359</v>
      </c>
      <c r="L45" s="5" t="s">
        <v>5</v>
      </c>
      <c r="M45" s="4">
        <v>1.3690721649484536</v>
      </c>
    </row>
    <row r="49" spans="1:5" x14ac:dyDescent="0.3">
      <c r="A49" s="7" t="s">
        <v>44</v>
      </c>
      <c r="B49" s="7" t="s">
        <v>46</v>
      </c>
      <c r="C49" s="7" t="s">
        <v>45</v>
      </c>
      <c r="D49" s="7"/>
      <c r="E49" s="7"/>
    </row>
    <row r="50" spans="1:5" x14ac:dyDescent="0.3">
      <c r="A50" s="10" t="str">
        <f>A44</f>
        <v>TRUE</v>
      </c>
      <c r="B50" s="10">
        <f>B44</f>
        <v>235</v>
      </c>
      <c r="C50" s="11">
        <f>C44</f>
        <v>0.4845360824742268</v>
      </c>
      <c r="D50" s="10"/>
      <c r="E50" s="10"/>
    </row>
    <row r="51" spans="1:5" x14ac:dyDescent="0.3">
      <c r="A51" s="10" t="str">
        <f>A43</f>
        <v>FALSE</v>
      </c>
      <c r="B51" s="10">
        <f>B43</f>
        <v>250</v>
      </c>
      <c r="C51" s="11">
        <f>C43</f>
        <v>0.51546391752577314</v>
      </c>
      <c r="D51" s="10"/>
      <c r="E51" s="10"/>
    </row>
    <row r="58" spans="1:5" x14ac:dyDescent="0.3">
      <c r="A58" t="s">
        <v>56</v>
      </c>
    </row>
    <row r="59" spans="1:5" x14ac:dyDescent="0.3">
      <c r="A59" s="3" t="s">
        <v>4</v>
      </c>
      <c r="B59" t="s">
        <v>47</v>
      </c>
    </row>
    <row r="60" spans="1:5" x14ac:dyDescent="0.3">
      <c r="A60" s="5" t="s">
        <v>48</v>
      </c>
      <c r="B60" s="9">
        <v>59</v>
      </c>
    </row>
    <row r="61" spans="1:5" x14ac:dyDescent="0.3">
      <c r="A61" s="5" t="s">
        <v>49</v>
      </c>
      <c r="B61" s="9">
        <v>55</v>
      </c>
    </row>
    <row r="62" spans="1:5" x14ac:dyDescent="0.3">
      <c r="A62" s="5" t="s">
        <v>50</v>
      </c>
      <c r="B62" s="9">
        <v>69</v>
      </c>
    </row>
    <row r="63" spans="1:5" x14ac:dyDescent="0.3">
      <c r="A63" s="5" t="s">
        <v>51</v>
      </c>
      <c r="B63" s="9">
        <v>64</v>
      </c>
    </row>
    <row r="64" spans="1:5" x14ac:dyDescent="0.3">
      <c r="A64" s="5" t="s">
        <v>52</v>
      </c>
      <c r="B64" s="9">
        <v>56</v>
      </c>
    </row>
    <row r="65" spans="1:2" x14ac:dyDescent="0.3">
      <c r="A65" s="5" t="s">
        <v>53</v>
      </c>
      <c r="B65" s="9">
        <v>60</v>
      </c>
    </row>
    <row r="66" spans="1:2" x14ac:dyDescent="0.3">
      <c r="A66" s="5" t="s">
        <v>54</v>
      </c>
      <c r="B66" s="9">
        <v>51</v>
      </c>
    </row>
    <row r="67" spans="1:2" x14ac:dyDescent="0.3">
      <c r="A67" s="5" t="s">
        <v>55</v>
      </c>
      <c r="B67" s="9">
        <v>71</v>
      </c>
    </row>
    <row r="68" spans="1:2" x14ac:dyDescent="0.3">
      <c r="A68" s="5" t="s">
        <v>5</v>
      </c>
      <c r="B68" s="1">
        <v>485</v>
      </c>
    </row>
    <row r="70" spans="1:2" x14ac:dyDescent="0.3">
      <c r="A70" s="5" t="s">
        <v>60</v>
      </c>
    </row>
    <row r="71" spans="1:2" x14ac:dyDescent="0.3">
      <c r="A71" s="3" t="s">
        <v>4</v>
      </c>
      <c r="B71" t="s">
        <v>57</v>
      </c>
    </row>
    <row r="72" spans="1:2" x14ac:dyDescent="0.3">
      <c r="A72" s="5" t="s">
        <v>59</v>
      </c>
      <c r="B72" s="9">
        <v>297</v>
      </c>
    </row>
    <row r="73" spans="1:2" x14ac:dyDescent="0.3">
      <c r="A73" s="5" t="s">
        <v>58</v>
      </c>
      <c r="B73" s="9">
        <v>188</v>
      </c>
    </row>
    <row r="74" spans="1:2" x14ac:dyDescent="0.3">
      <c r="A74" s="5" t="s">
        <v>5</v>
      </c>
      <c r="B74" s="1">
        <v>485</v>
      </c>
    </row>
    <row r="77" spans="1:2" x14ac:dyDescent="0.3">
      <c r="A77" s="5" t="s">
        <v>64</v>
      </c>
    </row>
    <row r="78" spans="1:2" x14ac:dyDescent="0.3">
      <c r="A78" s="3" t="s">
        <v>4</v>
      </c>
      <c r="B78" t="s">
        <v>61</v>
      </c>
    </row>
    <row r="79" spans="1:2" x14ac:dyDescent="0.3">
      <c r="A79" s="5" t="s">
        <v>62</v>
      </c>
      <c r="B79" s="1">
        <v>239</v>
      </c>
    </row>
    <row r="80" spans="1:2" x14ac:dyDescent="0.3">
      <c r="A80" s="5" t="s">
        <v>63</v>
      </c>
      <c r="B80" s="1">
        <v>246</v>
      </c>
    </row>
    <row r="81" spans="1:2" x14ac:dyDescent="0.3">
      <c r="A81" s="5" t="s">
        <v>5</v>
      </c>
      <c r="B81" s="1">
        <v>485</v>
      </c>
    </row>
    <row r="85" spans="1:2" x14ac:dyDescent="0.3">
      <c r="A85" s="3" t="s">
        <v>4</v>
      </c>
      <c r="B85" t="s">
        <v>73</v>
      </c>
    </row>
    <row r="86" spans="1:2" x14ac:dyDescent="0.3">
      <c r="A86" s="5" t="s">
        <v>72</v>
      </c>
      <c r="B86" s="9">
        <v>2</v>
      </c>
    </row>
    <row r="87" spans="1:2" x14ac:dyDescent="0.3">
      <c r="A87" s="5" t="s">
        <v>71</v>
      </c>
      <c r="B87" s="9">
        <v>11</v>
      </c>
    </row>
    <row r="88" spans="1:2" x14ac:dyDescent="0.3">
      <c r="A88" s="5" t="s">
        <v>68</v>
      </c>
      <c r="B88" s="9">
        <v>12</v>
      </c>
    </row>
    <row r="89" spans="1:2" x14ac:dyDescent="0.3">
      <c r="A89" s="5" t="s">
        <v>66</v>
      </c>
      <c r="B89" s="9">
        <v>12</v>
      </c>
    </row>
    <row r="90" spans="1:2" x14ac:dyDescent="0.3">
      <c r="A90" s="5" t="s">
        <v>65</v>
      </c>
      <c r="B90" s="9">
        <v>13</v>
      </c>
    </row>
    <row r="91" spans="1:2" x14ac:dyDescent="0.3">
      <c r="A91" s="5" t="s">
        <v>70</v>
      </c>
      <c r="B91" s="9">
        <v>53</v>
      </c>
    </row>
    <row r="92" spans="1:2" x14ac:dyDescent="0.3">
      <c r="A92" s="5" t="s">
        <v>67</v>
      </c>
      <c r="B92" s="9">
        <v>91</v>
      </c>
    </row>
    <row r="93" spans="1:2" x14ac:dyDescent="0.3">
      <c r="A93" s="5" t="s">
        <v>69</v>
      </c>
      <c r="B93" s="9">
        <v>291</v>
      </c>
    </row>
    <row r="94" spans="1:2" x14ac:dyDescent="0.3">
      <c r="A94" s="5" t="s">
        <v>5</v>
      </c>
      <c r="B94" s="1">
        <v>485</v>
      </c>
    </row>
    <row r="98" spans="1:1" x14ac:dyDescent="0.3">
      <c r="A98" s="3" t="s">
        <v>4</v>
      </c>
    </row>
    <row r="99" spans="1:1" x14ac:dyDescent="0.3">
      <c r="A99" s="5" t="s">
        <v>6</v>
      </c>
    </row>
    <row r="100" spans="1:1" x14ac:dyDescent="0.3">
      <c r="A100" s="5" t="s">
        <v>5</v>
      </c>
    </row>
  </sheetData>
  <pageMargins left="0.7" right="0.7" top="0.75" bottom="0.75" header="0.3" footer="0.3"/>
  <drawing r:id="rId1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65C3A-98C6-40AD-A460-8C3A890BDC80}">
  <dimension ref="A1:J18"/>
  <sheetViews>
    <sheetView tabSelected="1" zoomScale="175" zoomScaleNormal="194" workbookViewId="0">
      <selection activeCell="K9" sqref="K9"/>
    </sheetView>
  </sheetViews>
  <sheetFormatPr defaultRowHeight="14.4" x14ac:dyDescent="0.3"/>
  <sheetData>
    <row r="1" spans="1:10" x14ac:dyDescent="0.3">
      <c r="A1" s="2"/>
      <c r="B1" s="2"/>
      <c r="C1" s="2"/>
      <c r="D1" s="2"/>
      <c r="E1" s="2"/>
      <c r="F1" s="2"/>
      <c r="G1" s="2"/>
      <c r="H1" s="2"/>
      <c r="I1" s="2"/>
      <c r="J1" s="2"/>
    </row>
    <row r="2" spans="1:10" x14ac:dyDescent="0.3">
      <c r="A2" s="2"/>
      <c r="B2" s="2"/>
      <c r="C2" s="2"/>
      <c r="D2" s="2"/>
      <c r="E2" s="2"/>
      <c r="F2" s="2"/>
      <c r="G2" s="2"/>
      <c r="H2" s="2"/>
      <c r="I2" s="2"/>
      <c r="J2" s="2"/>
    </row>
    <row r="3" spans="1:10" x14ac:dyDescent="0.3">
      <c r="A3" s="2"/>
      <c r="B3" s="2"/>
      <c r="C3" s="2"/>
      <c r="D3" s="2"/>
      <c r="E3" s="2"/>
      <c r="F3" s="2"/>
      <c r="G3" s="2"/>
      <c r="H3" s="2"/>
      <c r="I3" s="2"/>
      <c r="J3" s="2"/>
    </row>
    <row r="4" spans="1:10" x14ac:dyDescent="0.3">
      <c r="A4" s="2"/>
      <c r="B4" s="2"/>
      <c r="C4" s="2"/>
      <c r="D4" s="2"/>
      <c r="E4" s="2"/>
      <c r="F4" s="2"/>
      <c r="G4" s="2"/>
      <c r="H4" s="2"/>
      <c r="I4" s="2"/>
      <c r="J4" s="2"/>
    </row>
    <row r="5" spans="1:10" x14ac:dyDescent="0.3">
      <c r="A5" s="2"/>
      <c r="B5" s="2"/>
      <c r="C5" s="2"/>
      <c r="D5" s="2"/>
      <c r="E5" s="2"/>
      <c r="F5" s="2"/>
      <c r="G5" s="2"/>
      <c r="H5" s="2"/>
      <c r="I5" s="2"/>
      <c r="J5" s="2"/>
    </row>
    <row r="6" spans="1:10" x14ac:dyDescent="0.3">
      <c r="A6" s="2"/>
      <c r="B6" s="2"/>
      <c r="C6" s="2"/>
      <c r="D6" s="2"/>
      <c r="E6" s="2"/>
      <c r="F6" s="2"/>
      <c r="G6" s="2"/>
      <c r="H6" s="2"/>
      <c r="I6" s="2"/>
      <c r="J6" s="2"/>
    </row>
    <row r="7" spans="1:10" x14ac:dyDescent="0.3">
      <c r="A7" s="2"/>
      <c r="B7" s="2"/>
      <c r="C7" s="2"/>
      <c r="D7" s="2"/>
      <c r="E7" s="2"/>
      <c r="F7" s="2"/>
      <c r="G7" s="2"/>
      <c r="H7" s="2"/>
      <c r="I7" s="2"/>
      <c r="J7" s="2"/>
    </row>
    <row r="8" spans="1:10" x14ac:dyDescent="0.3">
      <c r="A8" s="2"/>
      <c r="B8" s="2"/>
      <c r="C8" s="2"/>
      <c r="D8" s="2"/>
      <c r="E8" s="2"/>
      <c r="F8" s="2"/>
      <c r="G8" s="2"/>
      <c r="H8" s="2"/>
      <c r="I8" s="2"/>
      <c r="J8" s="2"/>
    </row>
    <row r="9" spans="1:10" x14ac:dyDescent="0.3">
      <c r="A9" s="2"/>
      <c r="B9" s="2"/>
      <c r="C9" s="2"/>
      <c r="D9" s="2"/>
      <c r="E9" s="2"/>
      <c r="F9" s="2"/>
      <c r="G9" s="2"/>
      <c r="H9" s="2"/>
      <c r="I9" s="2"/>
      <c r="J9" s="2"/>
    </row>
    <row r="10" spans="1:10" x14ac:dyDescent="0.3">
      <c r="A10" s="2"/>
      <c r="B10" s="2"/>
      <c r="C10" s="2"/>
      <c r="D10" s="2"/>
      <c r="E10" s="2"/>
      <c r="F10" s="2"/>
      <c r="G10" s="2"/>
      <c r="H10" s="2"/>
      <c r="I10" s="2"/>
      <c r="J10" s="2"/>
    </row>
    <row r="11" spans="1:10" x14ac:dyDescent="0.3">
      <c r="A11" s="2"/>
      <c r="B11" s="2"/>
      <c r="C11" s="2"/>
      <c r="D11" s="2"/>
      <c r="E11" s="2"/>
      <c r="F11" s="2"/>
      <c r="G11" s="2"/>
      <c r="H11" s="2"/>
      <c r="I11" s="2"/>
      <c r="J11" s="2"/>
    </row>
    <row r="12" spans="1:10" x14ac:dyDescent="0.3">
      <c r="A12" s="2"/>
      <c r="B12" s="2"/>
      <c r="C12" s="2"/>
      <c r="D12" s="2"/>
      <c r="E12" s="2"/>
      <c r="F12" s="2"/>
      <c r="G12" s="2"/>
      <c r="H12" s="2"/>
      <c r="I12" s="2"/>
      <c r="J12" s="2"/>
    </row>
    <row r="13" spans="1:10" x14ac:dyDescent="0.3">
      <c r="A13" s="2"/>
      <c r="B13" s="2"/>
      <c r="C13" s="2"/>
      <c r="D13" s="2"/>
      <c r="E13" s="2"/>
      <c r="F13" s="2"/>
      <c r="G13" s="2"/>
      <c r="H13" s="2"/>
      <c r="I13" s="2"/>
      <c r="J13" s="2"/>
    </row>
    <row r="14" spans="1:10" x14ac:dyDescent="0.3">
      <c r="A14" s="2"/>
      <c r="B14" s="2"/>
      <c r="C14" s="2"/>
      <c r="D14" s="2"/>
      <c r="E14" s="2"/>
      <c r="F14" s="2"/>
      <c r="G14" s="2"/>
      <c r="H14" s="2"/>
      <c r="I14" s="2"/>
      <c r="J14" s="2"/>
    </row>
    <row r="15" spans="1:10" x14ac:dyDescent="0.3">
      <c r="A15" s="2"/>
      <c r="B15" s="2"/>
      <c r="C15" s="2"/>
      <c r="D15" s="2"/>
      <c r="E15" s="2"/>
      <c r="F15" s="2"/>
      <c r="G15" s="2"/>
      <c r="H15" s="2"/>
      <c r="I15" s="2"/>
      <c r="J15" s="2"/>
    </row>
    <row r="16" spans="1:10" x14ac:dyDescent="0.3">
      <c r="A16" s="2"/>
      <c r="B16" s="2"/>
      <c r="C16" s="2"/>
      <c r="D16" s="2"/>
      <c r="E16" s="2"/>
      <c r="F16" s="2"/>
      <c r="G16" s="2"/>
      <c r="H16" s="2"/>
      <c r="I16" s="2"/>
      <c r="J16" s="2"/>
    </row>
    <row r="17" spans="1:10" x14ac:dyDescent="0.3">
      <c r="A17" s="2"/>
      <c r="B17" s="2"/>
      <c r="C17" s="2"/>
      <c r="D17" s="2"/>
      <c r="E17" s="2"/>
      <c r="F17" s="2"/>
      <c r="G17" s="2"/>
      <c r="H17" s="2"/>
      <c r="I17" s="2"/>
      <c r="J17" s="2"/>
    </row>
    <row r="18" spans="1:10" x14ac:dyDescent="0.3">
      <c r="A18" s="2"/>
      <c r="B18" s="2"/>
      <c r="C18" s="2"/>
      <c r="D18" s="2"/>
      <c r="E18" s="2"/>
      <c r="F18" s="2"/>
      <c r="G18" s="2"/>
      <c r="H18" s="2"/>
      <c r="I18" s="2"/>
      <c r="J18" s="2"/>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53B37-C425-46BD-B101-9FF782DFD351}">
  <dimension ref="A1:L16"/>
  <sheetViews>
    <sheetView workbookViewId="0"/>
  </sheetViews>
  <sheetFormatPr defaultRowHeight="14.4" x14ac:dyDescent="0.3"/>
  <sheetData>
    <row r="1" spans="1:12" x14ac:dyDescent="0.3">
      <c r="A1" s="6"/>
      <c r="B1" s="6"/>
      <c r="C1" s="6"/>
      <c r="D1" s="6"/>
      <c r="E1" s="6"/>
      <c r="F1" s="6"/>
      <c r="G1" s="6"/>
      <c r="H1" s="6"/>
      <c r="I1" s="6"/>
      <c r="J1" s="6"/>
      <c r="K1" s="6"/>
      <c r="L1" s="6"/>
    </row>
    <row r="2" spans="1:12" x14ac:dyDescent="0.3">
      <c r="A2" s="6"/>
      <c r="B2" s="6"/>
      <c r="C2" s="6"/>
      <c r="D2" s="6"/>
      <c r="E2" s="6"/>
      <c r="F2" s="6"/>
      <c r="G2" s="6"/>
      <c r="H2" s="6"/>
      <c r="I2" s="6"/>
      <c r="J2" s="6"/>
      <c r="K2" s="6"/>
      <c r="L2" s="6"/>
    </row>
    <row r="3" spans="1:12" x14ac:dyDescent="0.3">
      <c r="A3" s="6"/>
      <c r="B3" s="6"/>
      <c r="C3" s="6"/>
      <c r="D3" s="6"/>
      <c r="E3" s="6"/>
      <c r="F3" s="6"/>
      <c r="G3" s="6"/>
      <c r="H3" s="6"/>
      <c r="I3" s="6"/>
      <c r="J3" s="6"/>
      <c r="K3" s="6"/>
      <c r="L3" s="6"/>
    </row>
    <row r="4" spans="1:12" x14ac:dyDescent="0.3">
      <c r="A4" s="6"/>
      <c r="B4" s="6"/>
      <c r="C4" s="6"/>
      <c r="D4" s="6"/>
      <c r="E4" s="6"/>
      <c r="F4" s="6"/>
      <c r="G4" s="6"/>
      <c r="H4" s="6"/>
      <c r="I4" s="6"/>
      <c r="J4" s="6"/>
      <c r="K4" s="6"/>
      <c r="L4" s="6"/>
    </row>
    <row r="5" spans="1:12" x14ac:dyDescent="0.3">
      <c r="A5" s="6"/>
      <c r="B5" s="6"/>
      <c r="C5" s="6"/>
      <c r="D5" s="6"/>
      <c r="E5" s="6"/>
      <c r="F5" s="6"/>
      <c r="G5" s="6"/>
      <c r="H5" s="6"/>
      <c r="I5" s="6"/>
      <c r="J5" s="6"/>
      <c r="K5" s="6"/>
      <c r="L5" s="6"/>
    </row>
    <row r="6" spans="1:12" x14ac:dyDescent="0.3">
      <c r="A6" s="6"/>
      <c r="B6" s="6"/>
      <c r="C6" s="6"/>
      <c r="D6" s="6"/>
      <c r="E6" s="6"/>
      <c r="F6" s="6"/>
      <c r="G6" s="6"/>
      <c r="H6" s="6"/>
      <c r="I6" s="6"/>
      <c r="J6" s="6"/>
      <c r="K6" s="6"/>
      <c r="L6" s="6"/>
    </row>
    <row r="7" spans="1:12" x14ac:dyDescent="0.3">
      <c r="A7" s="6"/>
      <c r="B7" s="6"/>
      <c r="C7" s="6"/>
      <c r="D7" s="6"/>
      <c r="E7" s="6"/>
      <c r="F7" s="6"/>
      <c r="G7" s="6"/>
      <c r="H7" s="6"/>
      <c r="I7" s="6"/>
      <c r="J7" s="6"/>
      <c r="K7" s="6"/>
      <c r="L7" s="6"/>
    </row>
    <row r="8" spans="1:12" x14ac:dyDescent="0.3">
      <c r="A8" s="6"/>
      <c r="B8" s="6"/>
      <c r="C8" s="6"/>
      <c r="D8" s="6"/>
      <c r="E8" s="6"/>
      <c r="F8" s="6"/>
      <c r="G8" s="6"/>
      <c r="H8" s="6"/>
      <c r="I8" s="6"/>
      <c r="J8" s="6"/>
      <c r="K8" s="6"/>
      <c r="L8" s="6"/>
    </row>
    <row r="9" spans="1:12" x14ac:dyDescent="0.3">
      <c r="A9" s="6"/>
      <c r="B9" s="6"/>
      <c r="C9" s="6"/>
      <c r="D9" s="6"/>
      <c r="E9" s="6"/>
      <c r="F9" s="6"/>
      <c r="G9" s="6"/>
      <c r="H9" s="6"/>
      <c r="I9" s="6"/>
      <c r="J9" s="6"/>
      <c r="K9" s="6"/>
      <c r="L9" s="6"/>
    </row>
    <row r="10" spans="1:12" x14ac:dyDescent="0.3">
      <c r="A10" s="6"/>
      <c r="B10" s="6"/>
      <c r="C10" s="6"/>
      <c r="D10" s="6"/>
      <c r="E10" s="6"/>
      <c r="F10" s="6"/>
      <c r="G10" s="6"/>
      <c r="H10" s="6"/>
      <c r="I10" s="6"/>
      <c r="J10" s="6"/>
      <c r="K10" s="6"/>
      <c r="L10" s="6"/>
    </row>
    <row r="11" spans="1:12" x14ac:dyDescent="0.3">
      <c r="A11" s="6"/>
      <c r="B11" s="6"/>
      <c r="C11" s="6"/>
      <c r="D11" s="6"/>
      <c r="E11" s="6"/>
      <c r="F11" s="6"/>
      <c r="G11" s="6"/>
      <c r="H11" s="6"/>
      <c r="I11" s="6"/>
      <c r="J11" s="6"/>
      <c r="K11" s="6"/>
      <c r="L11" s="6"/>
    </row>
    <row r="12" spans="1:12" x14ac:dyDescent="0.3">
      <c r="A12" s="6"/>
      <c r="B12" s="6"/>
      <c r="C12" s="6"/>
      <c r="D12" s="6"/>
      <c r="E12" s="6"/>
      <c r="F12" s="6"/>
      <c r="G12" s="6"/>
      <c r="H12" s="6"/>
      <c r="I12" s="6"/>
      <c r="J12" s="6"/>
      <c r="K12" s="6"/>
      <c r="L12" s="6"/>
    </row>
    <row r="13" spans="1:12" x14ac:dyDescent="0.3">
      <c r="A13" s="6"/>
      <c r="B13" s="6"/>
      <c r="C13" s="6"/>
      <c r="D13" s="6"/>
      <c r="E13" s="6"/>
      <c r="F13" s="6"/>
      <c r="G13" s="6"/>
      <c r="H13" s="6"/>
      <c r="I13" s="6"/>
      <c r="J13" s="6"/>
      <c r="K13" s="6"/>
      <c r="L13" s="6"/>
    </row>
    <row r="14" spans="1:12" x14ac:dyDescent="0.3">
      <c r="A14" s="6"/>
      <c r="B14" s="6"/>
      <c r="C14" s="6"/>
      <c r="D14" s="6"/>
      <c r="E14" s="6"/>
      <c r="F14" s="6"/>
      <c r="G14" s="6"/>
      <c r="H14" s="6"/>
      <c r="I14" s="6"/>
      <c r="J14" s="6"/>
      <c r="K14" s="6"/>
      <c r="L14" s="6"/>
    </row>
    <row r="15" spans="1:12" x14ac:dyDescent="0.3">
      <c r="A15" s="6"/>
      <c r="B15" s="6"/>
      <c r="C15" s="6"/>
      <c r="D15" s="6"/>
      <c r="E15" s="6"/>
      <c r="F15" s="6"/>
      <c r="G15" s="6"/>
      <c r="H15" s="6"/>
      <c r="I15" s="6"/>
      <c r="J15" s="6"/>
      <c r="K15" s="6"/>
      <c r="L15" s="6"/>
    </row>
    <row r="16" spans="1:12" x14ac:dyDescent="0.3">
      <c r="A16" s="6"/>
      <c r="B16" s="6"/>
      <c r="C16" s="6"/>
      <c r="D16" s="6"/>
      <c r="E16" s="6"/>
      <c r="F16" s="6"/>
      <c r="G16" s="6"/>
      <c r="H16" s="6"/>
      <c r="I16" s="6"/>
      <c r="J16" s="6"/>
      <c r="K16" s="6"/>
      <c r="L16" s="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78555-6D7C-43D5-A998-7F30B00496DC}">
  <dimension ref="A1:Q22"/>
  <sheetViews>
    <sheetView topLeftCell="D1" workbookViewId="0"/>
  </sheetViews>
  <sheetFormatPr defaultRowHeight="14.4" x14ac:dyDescent="0.3"/>
  <sheetData>
    <row r="1" spans="1:17" x14ac:dyDescent="0.3">
      <c r="A1" s="7"/>
      <c r="B1" s="7"/>
      <c r="C1" s="7"/>
      <c r="D1" s="7"/>
      <c r="E1" s="7"/>
      <c r="F1" s="7"/>
      <c r="G1" s="7"/>
      <c r="H1" s="7"/>
      <c r="I1" s="7"/>
      <c r="J1" s="7"/>
      <c r="K1" s="7"/>
      <c r="L1" s="7"/>
      <c r="M1" s="7"/>
      <c r="N1" s="7"/>
      <c r="O1" s="7"/>
      <c r="P1" s="7"/>
      <c r="Q1" s="7"/>
    </row>
    <row r="2" spans="1:17" x14ac:dyDescent="0.3">
      <c r="A2" s="7"/>
      <c r="B2" s="7"/>
      <c r="C2" s="7"/>
      <c r="D2" s="7"/>
      <c r="E2" s="7"/>
      <c r="F2" s="7"/>
      <c r="G2" s="7"/>
      <c r="H2" s="7"/>
      <c r="I2" s="7"/>
      <c r="J2" s="7"/>
      <c r="K2" s="7"/>
      <c r="L2" s="7"/>
      <c r="M2" s="7"/>
      <c r="N2" s="7"/>
      <c r="O2" s="7"/>
      <c r="P2" s="7"/>
      <c r="Q2" s="7"/>
    </row>
    <row r="3" spans="1:17" x14ac:dyDescent="0.3">
      <c r="A3" s="7"/>
      <c r="B3" s="7"/>
      <c r="C3" s="7"/>
      <c r="D3" s="7"/>
      <c r="E3" s="7"/>
      <c r="F3" s="7"/>
      <c r="G3" s="7"/>
      <c r="H3" s="7"/>
      <c r="I3" s="7"/>
      <c r="J3" s="7"/>
      <c r="K3" s="7"/>
      <c r="L3" s="7"/>
      <c r="M3" s="7"/>
      <c r="N3" s="7"/>
      <c r="O3" s="7"/>
      <c r="P3" s="7"/>
      <c r="Q3" s="7"/>
    </row>
    <row r="4" spans="1:17" x14ac:dyDescent="0.3">
      <c r="A4" s="7"/>
      <c r="B4" s="7"/>
      <c r="C4" s="7"/>
      <c r="D4" s="7"/>
      <c r="E4" s="7"/>
      <c r="F4" s="7"/>
      <c r="G4" s="7"/>
      <c r="H4" s="7"/>
      <c r="I4" s="7"/>
      <c r="J4" s="7"/>
      <c r="K4" s="7"/>
      <c r="L4" s="7"/>
      <c r="M4" s="7"/>
      <c r="N4" s="7"/>
      <c r="O4" s="7"/>
      <c r="P4" s="7"/>
      <c r="Q4" s="7"/>
    </row>
    <row r="5" spans="1:17" x14ac:dyDescent="0.3">
      <c r="A5" s="7"/>
      <c r="B5" s="7"/>
      <c r="C5" s="7"/>
      <c r="D5" s="7"/>
      <c r="E5" s="7"/>
      <c r="F5" s="7"/>
      <c r="G5" s="7"/>
      <c r="H5" s="7"/>
      <c r="I5" s="7"/>
      <c r="J5" s="7"/>
      <c r="K5" s="7"/>
      <c r="L5" s="7"/>
      <c r="M5" s="7"/>
      <c r="N5" s="7"/>
      <c r="O5" s="7"/>
      <c r="P5" s="7"/>
      <c r="Q5" s="7"/>
    </row>
    <row r="6" spans="1:17" x14ac:dyDescent="0.3">
      <c r="A6" s="7"/>
      <c r="B6" s="7"/>
      <c r="C6" s="7"/>
      <c r="D6" s="7"/>
      <c r="E6" s="7"/>
      <c r="F6" s="7"/>
      <c r="G6" s="7"/>
      <c r="H6" s="7"/>
      <c r="I6" s="7"/>
      <c r="J6" s="7"/>
      <c r="K6" s="7"/>
      <c r="L6" s="7"/>
      <c r="M6" s="7"/>
      <c r="N6" s="7"/>
      <c r="O6" s="7"/>
      <c r="P6" s="7"/>
      <c r="Q6" s="7"/>
    </row>
    <row r="7" spans="1:17" x14ac:dyDescent="0.3">
      <c r="A7" s="7"/>
      <c r="B7" s="7"/>
      <c r="C7" s="7"/>
      <c r="D7" s="7"/>
      <c r="E7" s="7"/>
      <c r="F7" s="7"/>
      <c r="G7" s="7"/>
      <c r="H7" s="7"/>
      <c r="I7" s="7"/>
      <c r="J7" s="7"/>
      <c r="K7" s="7"/>
      <c r="L7" s="7"/>
      <c r="M7" s="7"/>
      <c r="N7" s="7"/>
      <c r="O7" s="7"/>
      <c r="P7" s="7"/>
      <c r="Q7" s="7"/>
    </row>
    <row r="8" spans="1:17" x14ac:dyDescent="0.3">
      <c r="A8" s="7"/>
      <c r="B8" s="7"/>
      <c r="C8" s="7"/>
      <c r="D8" s="7"/>
      <c r="E8" s="7"/>
      <c r="F8" s="7"/>
      <c r="G8" s="7"/>
      <c r="H8" s="7"/>
      <c r="I8" s="7"/>
      <c r="J8" s="7"/>
      <c r="K8" s="7"/>
      <c r="L8" s="7"/>
      <c r="M8" s="7"/>
      <c r="N8" s="7"/>
      <c r="O8" s="7"/>
      <c r="P8" s="7"/>
      <c r="Q8" s="7"/>
    </row>
    <row r="9" spans="1:17" x14ac:dyDescent="0.3">
      <c r="A9" s="7"/>
      <c r="B9" s="7"/>
      <c r="C9" s="7"/>
      <c r="D9" s="7"/>
      <c r="E9" s="7"/>
      <c r="F9" s="7"/>
      <c r="G9" s="7"/>
      <c r="H9" s="7"/>
      <c r="I9" s="7"/>
      <c r="J9" s="7"/>
      <c r="K9" s="7"/>
      <c r="L9" s="7"/>
      <c r="M9" s="7"/>
      <c r="N9" s="7"/>
      <c r="O9" s="7"/>
      <c r="P9" s="7"/>
      <c r="Q9" s="7"/>
    </row>
    <row r="10" spans="1:17" x14ac:dyDescent="0.3">
      <c r="A10" s="7"/>
      <c r="B10" s="7"/>
      <c r="C10" s="7"/>
      <c r="D10" s="7"/>
      <c r="E10" s="7"/>
      <c r="F10" s="7"/>
      <c r="G10" s="7"/>
      <c r="H10" s="7"/>
      <c r="I10" s="7"/>
      <c r="J10" s="7"/>
      <c r="K10" s="7"/>
      <c r="L10" s="7"/>
      <c r="M10" s="7"/>
      <c r="N10" s="7"/>
      <c r="O10" s="7"/>
      <c r="P10" s="7"/>
      <c r="Q10" s="7"/>
    </row>
    <row r="11" spans="1:17" x14ac:dyDescent="0.3">
      <c r="A11" s="7"/>
      <c r="B11" s="7"/>
      <c r="C11" s="7"/>
      <c r="D11" s="7"/>
      <c r="E11" s="7"/>
      <c r="F11" s="7"/>
      <c r="G11" s="7"/>
      <c r="H11" s="7"/>
      <c r="I11" s="7"/>
      <c r="J11" s="7"/>
      <c r="K11" s="7"/>
      <c r="L11" s="7"/>
      <c r="M11" s="7"/>
      <c r="N11" s="7"/>
      <c r="O11" s="7"/>
      <c r="P11" s="7"/>
      <c r="Q11" s="7"/>
    </row>
    <row r="12" spans="1:17" x14ac:dyDescent="0.3">
      <c r="A12" s="7"/>
      <c r="B12" s="7"/>
      <c r="C12" s="7"/>
      <c r="D12" s="7"/>
      <c r="E12" s="7"/>
      <c r="F12" s="7"/>
      <c r="G12" s="7"/>
      <c r="H12" s="7"/>
      <c r="I12" s="7"/>
      <c r="J12" s="7"/>
      <c r="K12" s="7"/>
      <c r="L12" s="7"/>
      <c r="M12" s="7"/>
      <c r="N12" s="7"/>
      <c r="O12" s="7"/>
      <c r="P12" s="7"/>
      <c r="Q12" s="7"/>
    </row>
    <row r="13" spans="1:17" x14ac:dyDescent="0.3">
      <c r="A13" s="7"/>
      <c r="B13" s="7"/>
      <c r="C13" s="7"/>
      <c r="D13" s="7"/>
      <c r="E13" s="7"/>
      <c r="F13" s="7"/>
      <c r="G13" s="7"/>
      <c r="H13" s="7"/>
      <c r="I13" s="7"/>
      <c r="J13" s="7"/>
      <c r="K13" s="7"/>
      <c r="L13" s="7"/>
      <c r="M13" s="7"/>
      <c r="N13" s="7"/>
      <c r="O13" s="7"/>
      <c r="P13" s="7"/>
      <c r="Q13" s="7"/>
    </row>
    <row r="14" spans="1:17" x14ac:dyDescent="0.3">
      <c r="A14" s="7"/>
      <c r="B14" s="7"/>
      <c r="C14" s="7"/>
      <c r="D14" s="7"/>
      <c r="E14" s="7"/>
      <c r="F14" s="7"/>
      <c r="G14" s="7"/>
      <c r="H14" s="7"/>
      <c r="I14" s="7"/>
      <c r="J14" s="7"/>
      <c r="K14" s="7"/>
      <c r="L14" s="7"/>
      <c r="M14" s="7"/>
      <c r="N14" s="7"/>
      <c r="O14" s="7"/>
      <c r="P14" s="7"/>
      <c r="Q14" s="7"/>
    </row>
    <row r="15" spans="1:17" x14ac:dyDescent="0.3">
      <c r="A15" s="7"/>
      <c r="B15" s="7"/>
      <c r="C15" s="7"/>
      <c r="D15" s="7"/>
      <c r="E15" s="7"/>
      <c r="F15" s="7"/>
      <c r="G15" s="7"/>
      <c r="H15" s="7"/>
      <c r="I15" s="7"/>
      <c r="J15" s="7"/>
      <c r="K15" s="7"/>
      <c r="L15" s="7"/>
      <c r="M15" s="7"/>
      <c r="N15" s="7"/>
      <c r="O15" s="7"/>
      <c r="P15" s="7"/>
      <c r="Q15" s="7"/>
    </row>
    <row r="16" spans="1:17" x14ac:dyDescent="0.3">
      <c r="A16" s="7"/>
      <c r="B16" s="7"/>
      <c r="C16" s="7"/>
      <c r="D16" s="7"/>
      <c r="E16" s="7"/>
      <c r="F16" s="7"/>
      <c r="G16" s="7"/>
      <c r="H16" s="7"/>
      <c r="I16" s="7"/>
      <c r="J16" s="7"/>
      <c r="K16" s="7"/>
      <c r="L16" s="7"/>
      <c r="M16" s="7"/>
      <c r="N16" s="7"/>
      <c r="O16" s="7"/>
      <c r="P16" s="7"/>
      <c r="Q16" s="7"/>
    </row>
    <row r="17" spans="1:17" x14ac:dyDescent="0.3">
      <c r="A17" s="7"/>
      <c r="B17" s="7"/>
      <c r="C17" s="7"/>
      <c r="D17" s="7"/>
      <c r="E17" s="7"/>
      <c r="F17" s="7"/>
      <c r="G17" s="7"/>
      <c r="H17" s="7"/>
      <c r="I17" s="7"/>
      <c r="J17" s="7"/>
      <c r="K17" s="7"/>
      <c r="L17" s="7"/>
      <c r="M17" s="7"/>
      <c r="N17" s="7"/>
      <c r="O17" s="7"/>
      <c r="P17" s="7"/>
      <c r="Q17" s="7"/>
    </row>
    <row r="18" spans="1:17" x14ac:dyDescent="0.3">
      <c r="A18" s="7"/>
      <c r="B18" s="7"/>
      <c r="C18" s="7"/>
      <c r="D18" s="7"/>
      <c r="E18" s="7"/>
      <c r="F18" s="7"/>
      <c r="G18" s="7"/>
      <c r="H18" s="7"/>
      <c r="I18" s="7"/>
      <c r="J18" s="7"/>
      <c r="K18" s="7"/>
      <c r="L18" s="7"/>
      <c r="M18" s="7"/>
      <c r="N18" s="7"/>
      <c r="O18" s="7"/>
      <c r="P18" s="7"/>
      <c r="Q18" s="7"/>
    </row>
    <row r="19" spans="1:17" x14ac:dyDescent="0.3">
      <c r="A19" s="7"/>
      <c r="B19" s="7"/>
      <c r="C19" s="7"/>
      <c r="D19" s="7"/>
      <c r="E19" s="7"/>
      <c r="F19" s="7"/>
      <c r="G19" s="7"/>
      <c r="H19" s="7"/>
      <c r="I19" s="7"/>
      <c r="J19" s="7"/>
      <c r="K19" s="7"/>
      <c r="L19" s="7"/>
      <c r="M19" s="7"/>
      <c r="N19" s="7"/>
      <c r="O19" s="7"/>
      <c r="P19" s="7"/>
      <c r="Q19" s="7"/>
    </row>
    <row r="20" spans="1:17" x14ac:dyDescent="0.3">
      <c r="A20" s="7"/>
      <c r="B20" s="7"/>
      <c r="C20" s="7"/>
      <c r="D20" s="7"/>
      <c r="E20" s="7"/>
      <c r="F20" s="7"/>
      <c r="G20" s="7"/>
      <c r="H20" s="7"/>
      <c r="I20" s="7"/>
      <c r="J20" s="7"/>
      <c r="K20" s="7"/>
      <c r="L20" s="7"/>
      <c r="M20" s="7"/>
      <c r="N20" s="7"/>
      <c r="O20" s="7"/>
      <c r="P20" s="7"/>
      <c r="Q20" s="7"/>
    </row>
    <row r="21" spans="1:17" x14ac:dyDescent="0.3">
      <c r="A21" s="7"/>
      <c r="B21" s="7"/>
      <c r="C21" s="7"/>
      <c r="D21" s="7"/>
      <c r="E21" s="7"/>
      <c r="F21" s="7"/>
      <c r="G21" s="7"/>
      <c r="H21" s="7"/>
      <c r="I21" s="7"/>
      <c r="J21" s="7"/>
      <c r="K21" s="7"/>
      <c r="L21" s="7"/>
      <c r="M21" s="7"/>
      <c r="N21" s="7"/>
      <c r="O21" s="7"/>
      <c r="P21" s="7"/>
      <c r="Q21" s="7"/>
    </row>
    <row r="22" spans="1:17" x14ac:dyDescent="0.3">
      <c r="A22" s="7"/>
      <c r="B22" s="7"/>
      <c r="C22" s="7"/>
      <c r="D22" s="7"/>
      <c r="E22" s="7"/>
      <c r="F22" s="7"/>
      <c r="G22" s="7"/>
      <c r="H22" s="7"/>
      <c r="I22" s="7"/>
      <c r="J22" s="7"/>
      <c r="K22" s="7"/>
      <c r="L22" s="7"/>
      <c r="M22" s="7"/>
      <c r="N22" s="7"/>
      <c r="O22" s="7"/>
      <c r="P22" s="7"/>
      <c r="Q22" s="7"/>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54984-941A-4B23-BA74-789641AAF423}">
  <dimension ref="A1:Q22"/>
  <sheetViews>
    <sheetView workbookViewId="0"/>
  </sheetViews>
  <sheetFormatPr defaultRowHeight="14.4" x14ac:dyDescent="0.3"/>
  <sheetData>
    <row r="1" spans="1:17" x14ac:dyDescent="0.3">
      <c r="A1" s="7"/>
      <c r="B1" s="7"/>
      <c r="C1" s="7"/>
      <c r="D1" s="7"/>
      <c r="E1" s="7"/>
      <c r="F1" s="7"/>
      <c r="G1" s="7"/>
      <c r="H1" s="7"/>
      <c r="I1" s="7"/>
      <c r="J1" s="7"/>
      <c r="K1" s="7"/>
      <c r="L1" s="7"/>
      <c r="M1" s="7"/>
      <c r="N1" s="7"/>
      <c r="O1" s="7"/>
      <c r="P1" s="7"/>
      <c r="Q1" s="7"/>
    </row>
    <row r="2" spans="1:17" x14ac:dyDescent="0.3">
      <c r="A2" s="7"/>
      <c r="B2" s="7"/>
      <c r="C2" s="7"/>
      <c r="D2" s="7"/>
      <c r="E2" s="7"/>
      <c r="F2" s="7"/>
      <c r="G2" s="7"/>
      <c r="H2" s="7"/>
      <c r="I2" s="7"/>
      <c r="J2" s="7"/>
      <c r="K2" s="7"/>
      <c r="L2" s="7"/>
      <c r="M2" s="7"/>
      <c r="N2" s="7"/>
      <c r="O2" s="7"/>
      <c r="P2" s="7"/>
      <c r="Q2" s="7"/>
    </row>
    <row r="3" spans="1:17" x14ac:dyDescent="0.3">
      <c r="A3" s="7"/>
      <c r="B3" s="7"/>
      <c r="C3" s="7"/>
      <c r="D3" s="7"/>
      <c r="E3" s="7"/>
      <c r="F3" s="7"/>
      <c r="G3" s="7"/>
      <c r="H3" s="7"/>
      <c r="I3" s="7"/>
      <c r="J3" s="7"/>
      <c r="K3" s="7"/>
      <c r="L3" s="7"/>
      <c r="M3" s="7"/>
      <c r="N3" s="7"/>
      <c r="O3" s="7"/>
      <c r="P3" s="7"/>
      <c r="Q3" s="7"/>
    </row>
    <row r="4" spans="1:17" x14ac:dyDescent="0.3">
      <c r="A4" s="7"/>
      <c r="B4" s="7"/>
      <c r="C4" s="7"/>
      <c r="D4" s="7"/>
      <c r="E4" s="7"/>
      <c r="F4" s="7"/>
      <c r="G4" s="7"/>
      <c r="H4" s="7"/>
      <c r="I4" s="7"/>
      <c r="J4" s="7"/>
      <c r="K4" s="7"/>
      <c r="L4" s="7"/>
      <c r="M4" s="7"/>
      <c r="N4" s="7"/>
      <c r="O4" s="7"/>
      <c r="P4" s="7"/>
      <c r="Q4" s="7"/>
    </row>
    <row r="5" spans="1:17" x14ac:dyDescent="0.3">
      <c r="A5" s="7"/>
      <c r="B5" s="7"/>
      <c r="C5" s="7"/>
      <c r="D5" s="7"/>
      <c r="E5" s="7"/>
      <c r="F5" s="7"/>
      <c r="G5" s="7"/>
      <c r="H5" s="7"/>
      <c r="I5" s="7"/>
      <c r="J5" s="7"/>
      <c r="K5" s="7"/>
      <c r="L5" s="7"/>
      <c r="M5" s="7"/>
      <c r="N5" s="7"/>
      <c r="O5" s="7"/>
      <c r="P5" s="7"/>
      <c r="Q5" s="7"/>
    </row>
    <row r="6" spans="1:17" x14ac:dyDescent="0.3">
      <c r="A6" s="7"/>
      <c r="B6" s="7"/>
      <c r="C6" s="7"/>
      <c r="D6" s="7"/>
      <c r="E6" s="7"/>
      <c r="F6" s="7"/>
      <c r="G6" s="7"/>
      <c r="H6" s="7"/>
      <c r="I6" s="7"/>
      <c r="J6" s="7"/>
      <c r="K6" s="7"/>
      <c r="L6" s="7"/>
      <c r="M6" s="7"/>
      <c r="N6" s="7"/>
      <c r="O6" s="7"/>
      <c r="P6" s="7"/>
      <c r="Q6" s="7"/>
    </row>
    <row r="7" spans="1:17" x14ac:dyDescent="0.3">
      <c r="A7" s="7"/>
      <c r="B7" s="7"/>
      <c r="C7" s="7"/>
      <c r="D7" s="7"/>
      <c r="E7" s="7"/>
      <c r="F7" s="7"/>
      <c r="G7" s="7"/>
      <c r="H7" s="7"/>
      <c r="I7" s="7"/>
      <c r="J7" s="7"/>
      <c r="K7" s="7"/>
      <c r="L7" s="7"/>
      <c r="M7" s="7"/>
      <c r="N7" s="7"/>
      <c r="O7" s="7"/>
      <c r="P7" s="7"/>
      <c r="Q7" s="7"/>
    </row>
    <row r="8" spans="1:17" x14ac:dyDescent="0.3">
      <c r="A8" s="7"/>
      <c r="B8" s="7"/>
      <c r="C8" s="7"/>
      <c r="D8" s="7"/>
      <c r="E8" s="7"/>
      <c r="F8" s="7"/>
      <c r="G8" s="7"/>
      <c r="H8" s="7"/>
      <c r="I8" s="7"/>
      <c r="J8" s="7"/>
      <c r="K8" s="7"/>
      <c r="L8" s="7"/>
      <c r="M8" s="7"/>
      <c r="N8" s="7"/>
      <c r="O8" s="7"/>
      <c r="P8" s="7"/>
      <c r="Q8" s="7"/>
    </row>
    <row r="9" spans="1:17" x14ac:dyDescent="0.3">
      <c r="A9" s="7"/>
      <c r="B9" s="7"/>
      <c r="C9" s="7"/>
      <c r="D9" s="7"/>
      <c r="E9" s="7"/>
      <c r="F9" s="7"/>
      <c r="G9" s="7"/>
      <c r="H9" s="7"/>
      <c r="I9" s="7"/>
      <c r="J9" s="7"/>
      <c r="K9" s="7"/>
      <c r="L9" s="7"/>
      <c r="M9" s="7"/>
      <c r="N9" s="7"/>
      <c r="O9" s="7"/>
      <c r="P9" s="7"/>
      <c r="Q9" s="7"/>
    </row>
    <row r="10" spans="1:17" x14ac:dyDescent="0.3">
      <c r="A10" s="7"/>
      <c r="B10" s="7"/>
      <c r="C10" s="7"/>
      <c r="D10" s="7"/>
      <c r="E10" s="7"/>
      <c r="F10" s="7"/>
      <c r="G10" s="7"/>
      <c r="H10" s="7"/>
      <c r="I10" s="7"/>
      <c r="J10" s="7"/>
      <c r="K10" s="7"/>
      <c r="L10" s="7"/>
      <c r="M10" s="7"/>
      <c r="N10" s="7"/>
      <c r="O10" s="7"/>
      <c r="P10" s="7"/>
      <c r="Q10" s="7"/>
    </row>
    <row r="11" spans="1:17" x14ac:dyDescent="0.3">
      <c r="A11" s="7"/>
      <c r="B11" s="7"/>
      <c r="C11" s="7"/>
      <c r="D11" s="7"/>
      <c r="E11" s="7"/>
      <c r="F11" s="7"/>
      <c r="G11" s="7"/>
      <c r="H11" s="7"/>
      <c r="I11" s="7"/>
      <c r="J11" s="7"/>
      <c r="K11" s="7"/>
      <c r="L11" s="7"/>
      <c r="M11" s="7"/>
      <c r="N11" s="7"/>
      <c r="O11" s="7"/>
      <c r="P11" s="7"/>
      <c r="Q11" s="7"/>
    </row>
    <row r="12" spans="1:17" x14ac:dyDescent="0.3">
      <c r="A12" s="7"/>
      <c r="B12" s="7"/>
      <c r="C12" s="7"/>
      <c r="D12" s="7"/>
      <c r="E12" s="7"/>
      <c r="F12" s="7"/>
      <c r="G12" s="7"/>
      <c r="H12" s="7"/>
      <c r="I12" s="7"/>
      <c r="J12" s="7"/>
      <c r="K12" s="7"/>
      <c r="L12" s="7"/>
      <c r="M12" s="7"/>
      <c r="N12" s="7"/>
      <c r="O12" s="7"/>
      <c r="P12" s="7"/>
      <c r="Q12" s="7"/>
    </row>
    <row r="13" spans="1:17" x14ac:dyDescent="0.3">
      <c r="A13" s="7"/>
      <c r="B13" s="7"/>
      <c r="C13" s="7"/>
      <c r="D13" s="7"/>
      <c r="E13" s="7"/>
      <c r="F13" s="7"/>
      <c r="G13" s="7"/>
      <c r="H13" s="7"/>
      <c r="I13" s="7"/>
      <c r="J13" s="7"/>
      <c r="K13" s="7"/>
      <c r="L13" s="7"/>
      <c r="M13" s="7"/>
      <c r="N13" s="7"/>
      <c r="O13" s="7"/>
      <c r="P13" s="7"/>
      <c r="Q13" s="7"/>
    </row>
    <row r="14" spans="1:17" x14ac:dyDescent="0.3">
      <c r="A14" s="7"/>
      <c r="B14" s="7"/>
      <c r="C14" s="7"/>
      <c r="D14" s="7"/>
      <c r="E14" s="7"/>
      <c r="F14" s="7"/>
      <c r="G14" s="7"/>
      <c r="H14" s="7"/>
      <c r="I14" s="7"/>
      <c r="J14" s="7"/>
      <c r="K14" s="7"/>
      <c r="L14" s="7"/>
      <c r="M14" s="7"/>
      <c r="N14" s="7"/>
      <c r="O14" s="7"/>
      <c r="P14" s="7"/>
      <c r="Q14" s="7"/>
    </row>
    <row r="15" spans="1:17" x14ac:dyDescent="0.3">
      <c r="A15" s="7"/>
      <c r="B15" s="7"/>
      <c r="C15" s="7"/>
      <c r="D15" s="7"/>
      <c r="E15" s="7"/>
      <c r="F15" s="7"/>
      <c r="G15" s="7"/>
      <c r="H15" s="7"/>
      <c r="I15" s="7"/>
      <c r="J15" s="7"/>
      <c r="K15" s="7"/>
      <c r="L15" s="7"/>
      <c r="M15" s="7"/>
      <c r="N15" s="7"/>
      <c r="O15" s="7"/>
      <c r="P15" s="7"/>
      <c r="Q15" s="7"/>
    </row>
    <row r="16" spans="1:17" x14ac:dyDescent="0.3">
      <c r="A16" s="7"/>
      <c r="B16" s="7"/>
      <c r="C16" s="7"/>
      <c r="D16" s="7"/>
      <c r="E16" s="7"/>
      <c r="F16" s="7"/>
      <c r="G16" s="7"/>
      <c r="H16" s="7"/>
      <c r="I16" s="7"/>
      <c r="J16" s="7"/>
      <c r="K16" s="7"/>
      <c r="L16" s="7"/>
      <c r="M16" s="7"/>
      <c r="N16" s="7"/>
      <c r="O16" s="7"/>
      <c r="P16" s="7"/>
      <c r="Q16" s="7"/>
    </row>
    <row r="17" spans="1:17" x14ac:dyDescent="0.3">
      <c r="A17" s="7"/>
      <c r="B17" s="7"/>
      <c r="C17" s="7"/>
      <c r="D17" s="7"/>
      <c r="E17" s="7"/>
      <c r="F17" s="7"/>
      <c r="G17" s="7"/>
      <c r="H17" s="7"/>
      <c r="I17" s="7"/>
      <c r="J17" s="7"/>
      <c r="K17" s="7"/>
      <c r="L17" s="7"/>
      <c r="M17" s="7"/>
      <c r="N17" s="7"/>
      <c r="O17" s="7"/>
      <c r="P17" s="7"/>
      <c r="Q17" s="7"/>
    </row>
    <row r="18" spans="1:17" x14ac:dyDescent="0.3">
      <c r="A18" s="7"/>
      <c r="B18" s="7"/>
      <c r="C18" s="7"/>
      <c r="D18" s="7"/>
      <c r="E18" s="7"/>
      <c r="F18" s="7"/>
      <c r="G18" s="7"/>
      <c r="H18" s="7"/>
      <c r="I18" s="7"/>
      <c r="J18" s="7"/>
      <c r="K18" s="7"/>
      <c r="L18" s="7"/>
      <c r="M18" s="7"/>
      <c r="N18" s="7"/>
      <c r="O18" s="7"/>
      <c r="P18" s="7"/>
      <c r="Q18" s="7"/>
    </row>
    <row r="19" spans="1:17" x14ac:dyDescent="0.3">
      <c r="A19" s="7"/>
      <c r="B19" s="7"/>
      <c r="C19" s="7"/>
      <c r="D19" s="7"/>
      <c r="E19" s="7"/>
      <c r="F19" s="7"/>
      <c r="G19" s="7"/>
      <c r="H19" s="7"/>
      <c r="I19" s="7"/>
      <c r="J19" s="7"/>
      <c r="K19" s="7"/>
      <c r="L19" s="7"/>
      <c r="M19" s="7"/>
      <c r="N19" s="7"/>
      <c r="O19" s="7"/>
      <c r="P19" s="7"/>
      <c r="Q19" s="7"/>
    </row>
    <row r="20" spans="1:17" x14ac:dyDescent="0.3">
      <c r="A20" s="7"/>
      <c r="B20" s="7"/>
      <c r="C20" s="7"/>
      <c r="D20" s="7"/>
      <c r="E20" s="7"/>
      <c r="F20" s="7"/>
      <c r="G20" s="7"/>
      <c r="H20" s="7"/>
      <c r="I20" s="7"/>
      <c r="J20" s="7"/>
      <c r="K20" s="7"/>
      <c r="L20" s="7"/>
      <c r="M20" s="7"/>
      <c r="N20" s="7"/>
      <c r="O20" s="7"/>
      <c r="P20" s="7"/>
      <c r="Q20" s="7"/>
    </row>
    <row r="21" spans="1:17" x14ac:dyDescent="0.3">
      <c r="A21" s="7"/>
      <c r="B21" s="7"/>
      <c r="C21" s="7"/>
      <c r="D21" s="7"/>
      <c r="E21" s="7"/>
      <c r="F21" s="7"/>
      <c r="G21" s="7"/>
      <c r="H21" s="7"/>
      <c r="I21" s="7"/>
      <c r="J21" s="7"/>
      <c r="K21" s="7"/>
      <c r="L21" s="7"/>
      <c r="M21" s="7"/>
      <c r="N21" s="7"/>
      <c r="O21" s="7"/>
      <c r="P21" s="7"/>
      <c r="Q21" s="7"/>
    </row>
    <row r="22" spans="1:17" x14ac:dyDescent="0.3">
      <c r="A22" s="7"/>
      <c r="B22" s="7"/>
      <c r="C22" s="7"/>
      <c r="D22" s="7"/>
      <c r="E22" s="7"/>
      <c r="F22" s="7"/>
      <c r="G22" s="7"/>
      <c r="H22" s="7"/>
      <c r="I22" s="7"/>
      <c r="J22" s="7"/>
      <c r="K22" s="7"/>
      <c r="L22" s="7"/>
      <c r="M22" s="7"/>
      <c r="N22" s="7"/>
      <c r="O22" s="7"/>
      <c r="P22" s="7"/>
      <c r="Q22" s="7"/>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F7863AEA-C0B9-4FA8-B47C-31A8A918C3DC}">
  <ds:schemaRefs/>
</ds:datastoreItem>
</file>

<file path=customXml/itemProps2.xml><?xml version="1.0" encoding="utf-8"?>
<ds:datastoreItem xmlns:ds="http://schemas.openxmlformats.org/officeDocument/2006/customXml" ds:itemID="{C3BD6450-EE4C-40F1-842C-903ACCAB914A}">
  <ds:schemaRefs/>
</ds:datastoreItem>
</file>

<file path=customXml/itemProps3.xml><?xml version="1.0" encoding="utf-8"?>
<ds:datastoreItem xmlns:ds="http://schemas.openxmlformats.org/officeDocument/2006/customXml" ds:itemID="{BDBD6EE0-CCD6-4B23-8B93-1FF6DBEAF715}">
  <ds:schemaRefs/>
</ds:datastoreItem>
</file>

<file path=customXml/itemProps4.xml><?xml version="1.0" encoding="utf-8"?>
<ds:datastoreItem xmlns:ds="http://schemas.openxmlformats.org/officeDocument/2006/customXml" ds:itemID="{6868DF20-2B01-4067-95D5-9F3C494DC64A}">
  <ds:schemaRefs/>
</ds:datastoreItem>
</file>

<file path=customXml/itemProps5.xml><?xml version="1.0" encoding="utf-8"?>
<ds:datastoreItem xmlns:ds="http://schemas.openxmlformats.org/officeDocument/2006/customXml" ds:itemID="{CCA0ACD4-EF7B-4257-BA00-05C2EC721A75}">
  <ds:schemaRefs/>
</ds:datastoreItem>
</file>

<file path=customXml/itemProps6.xml><?xml version="1.0" encoding="utf-8"?>
<ds:datastoreItem xmlns:ds="http://schemas.openxmlformats.org/officeDocument/2006/customXml" ds:itemID="{DB171DEF-5A0B-4836-9533-3C5F4FFD446D}">
  <ds:schemaRefs/>
</ds:datastoreItem>
</file>

<file path=customXml/itemProps7.xml><?xml version="1.0" encoding="utf-8"?>
<ds:datastoreItem xmlns:ds="http://schemas.openxmlformats.org/officeDocument/2006/customXml" ds:itemID="{91870203-CB07-442E-B039-ECEBFFB802BC}">
  <ds:schemaRefs/>
</ds:datastoreItem>
</file>

<file path=customXml/itemProps8.xml><?xml version="1.0" encoding="utf-8"?>
<ds:datastoreItem xmlns:ds="http://schemas.openxmlformats.org/officeDocument/2006/customXml" ds:itemID="{B5D97A7D-3E06-4B38-837A-F47D40B2E758}">
  <ds:schemaRefs/>
</ds:datastoreItem>
</file>

<file path=customXml/itemProps9.xml><?xml version="1.0" encoding="utf-8"?>
<ds:datastoreItem xmlns:ds="http://schemas.openxmlformats.org/officeDocument/2006/customXml" ds:itemID="{2624F22B-A64A-44E6-A704-364E1C8ED5D3}">
  <ds:schemaRefs/>
</ds:datastoreItem>
</file>

<file path=customXml/itemProps10.xml><?xml version="1.0" encoding="utf-8"?>
<ds:datastoreItem xmlns:ds="http://schemas.openxmlformats.org/officeDocument/2006/customXml" ds:itemID="{7A851B20-E32F-4E5D-839B-FFDC82685435}">
  <ds:schemaRefs/>
</ds:datastoreItem>
</file>

<file path=customXml/itemProps11.xml><?xml version="1.0" encoding="utf-8"?>
<ds:datastoreItem xmlns:ds="http://schemas.openxmlformats.org/officeDocument/2006/customXml" ds:itemID="{5D86EE91-8FC3-408E-9B04-3D7DBEA36CFF}">
  <ds:schemaRefs/>
</ds:datastoreItem>
</file>

<file path=customXml/itemProps12.xml><?xml version="1.0" encoding="utf-8"?>
<ds:datastoreItem xmlns:ds="http://schemas.openxmlformats.org/officeDocument/2006/customXml" ds:itemID="{BFA8E246-77C7-41DE-A2C2-DFD8EEE659B8}">
  <ds:schemaRefs/>
</ds:datastoreItem>
</file>

<file path=customXml/itemProps13.xml><?xml version="1.0" encoding="utf-8"?>
<ds:datastoreItem xmlns:ds="http://schemas.openxmlformats.org/officeDocument/2006/customXml" ds:itemID="{D090F83F-B41D-4F3C-A581-734F4AE985B7}">
  <ds:schemaRefs/>
</ds:datastoreItem>
</file>

<file path=customXml/itemProps14.xml><?xml version="1.0" encoding="utf-8"?>
<ds:datastoreItem xmlns:ds="http://schemas.openxmlformats.org/officeDocument/2006/customXml" ds:itemID="{0F88D059-8F36-4A34-BFD1-23F163F31BC1}">
  <ds:schemaRefs/>
</ds:datastoreItem>
</file>

<file path=customXml/itemProps15.xml><?xml version="1.0" encoding="utf-8"?>
<ds:datastoreItem xmlns:ds="http://schemas.openxmlformats.org/officeDocument/2006/customXml" ds:itemID="{0D125CE5-BD15-41EF-B6F4-874B8C992A07}">
  <ds:schemaRefs/>
</ds:datastoreItem>
</file>

<file path=customXml/itemProps16.xml><?xml version="1.0" encoding="utf-8"?>
<ds:datastoreItem xmlns:ds="http://schemas.openxmlformats.org/officeDocument/2006/customXml" ds:itemID="{F4015CAD-6113-488D-899F-A913A842C776}">
  <ds:schemaRefs/>
</ds:datastoreItem>
</file>

<file path=customXml/itemProps17.xml><?xml version="1.0" encoding="utf-8"?>
<ds:datastoreItem xmlns:ds="http://schemas.openxmlformats.org/officeDocument/2006/customXml" ds:itemID="{93274F15-AA0B-4252-AA1B-4309950704F0}">
  <ds:schemaRefs/>
</ds:datastoreItem>
</file>

<file path=customXml/itemProps18.xml><?xml version="1.0" encoding="utf-8"?>
<ds:datastoreItem xmlns:ds="http://schemas.openxmlformats.org/officeDocument/2006/customXml" ds:itemID="{778B88D9-E91D-4509-BF25-2CC75AFF0532}">
  <ds:schemaRefs/>
</ds:datastoreItem>
</file>

<file path=customXml/itemProps19.xml><?xml version="1.0" encoding="utf-8"?>
<ds:datastoreItem xmlns:ds="http://schemas.openxmlformats.org/officeDocument/2006/customXml" ds:itemID="{95F93689-ADEF-480D-8CDF-1E165A2C2455}">
  <ds:schemaRefs/>
</ds:datastoreItem>
</file>

<file path=customXml/itemProps20.xml><?xml version="1.0" encoding="utf-8"?>
<ds:datastoreItem xmlns:ds="http://schemas.openxmlformats.org/officeDocument/2006/customXml" ds:itemID="{E992236D-D96F-46FF-AF6F-D37DA4210128}">
  <ds:schemaRefs/>
</ds:datastoreItem>
</file>

<file path=customXml/itemProps21.xml><?xml version="1.0" encoding="utf-8"?>
<ds:datastoreItem xmlns:ds="http://schemas.openxmlformats.org/officeDocument/2006/customXml" ds:itemID="{BEC1824E-40F4-4F37-8167-E27CB8115A0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Sheet4</vt:lpstr>
      <vt:lpstr>pivot Report</vt:lpstr>
      <vt:lpstr>Dashboard</vt:lpstr>
      <vt:lpstr>Daily ER No of patient</vt:lpstr>
      <vt:lpstr> avg waittime daily trends</vt:lpstr>
      <vt:lpstr>satisfaction score daily 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kishan kannaujiya</dc:creator>
  <cp:lastModifiedBy>kishan kannaujiya</cp:lastModifiedBy>
  <dcterms:created xsi:type="dcterms:W3CDTF">2026-06-30T05:31:05Z</dcterms:created>
  <dcterms:modified xsi:type="dcterms:W3CDTF">2026-07-02T09:17:45Z</dcterms:modified>
</cp:coreProperties>
</file>